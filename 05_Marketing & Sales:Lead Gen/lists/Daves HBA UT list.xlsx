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ing Company Contact Info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<sst xmlns="http://schemas.openxmlformats.org/spreadsheetml/2006/main" count="5005" uniqueCount="4052">
  <si>
    <t>Company Name</t>
  </si>
  <si>
    <t>Contact Name</t>
  </si>
  <si>
    <t>Address</t>
  </si>
  <si>
    <t>Phone</t>
  </si>
  <si>
    <t>Email</t>
  </si>
  <si>
    <t>Category</t>
  </si>
  <si>
    <t>10X Builders Inc.</t>
  </si>
  <si>
    <t>Alani Fua</t>
  </si>
  <si>
    <t>105 E 580 N, Vineyard, UT 84059</t>
  </si>
  <si>
    <t>(801) 803-8931</t>
  </si>
  <si>
    <t>alani@10XBuilders.com</t>
  </si>
  <si>
    <t>2-10 Home Buyers Warranty</t>
  </si>
  <si>
    <t>Jake Echevarria</t>
  </si>
  <si>
    <t>10375 E Harvard Ave, #100, Denver, CO 80231</t>
  </si>
  <si>
    <t>(800) 488-8844</t>
  </si>
  <si>
    <t>jechevarria@2-10.com</t>
  </si>
  <si>
    <t>7D Construction</t>
  </si>
  <si>
    <t>Mike Balls</t>
  </si>
  <si>
    <t>13133s Running Bear Ln, Draper, UT 84020</t>
  </si>
  <si>
    <t>(801) 514-8051</t>
  </si>
  <si>
    <t>Mike@7dutah.com</t>
  </si>
  <si>
    <t>A Plus Garage Doors</t>
  </si>
  <si>
    <t>Job Booker</t>
  </si>
  <si>
    <t>974 W 14420 S, Bluffdale, UT 84065</t>
  </si>
  <si>
    <t>(801) 590-3106</t>
  </si>
  <si>
    <t>support@aplusdoor.com</t>
  </si>
  <si>
    <t>A&amp;A Staffing Solutions Inc.</t>
  </si>
  <si>
    <t>Alex Morales</t>
  </si>
  <si>
    <t>709 N 1200 W, Orem, UT 84057</t>
  </si>
  <si>
    <t>(801) 814-4949</t>
  </si>
  <si>
    <t>alexmcorporation@gmail.com</t>
  </si>
  <si>
    <t>Above and Beyond Cleaning</t>
  </si>
  <si>
    <t>Lindsay Islas</t>
  </si>
  <si>
    <t>3768 N University Ave, #202, Provo, UT 84604</t>
  </si>
  <si>
    <t>(801) 400-1819</t>
  </si>
  <si>
    <t>blindsay101@gmail.com</t>
  </si>
  <si>
    <t>Acapulco Marble and Granite Inc</t>
  </si>
  <si>
    <t>Brenda Benitez</t>
  </si>
  <si>
    <t>891 S 490 W, #G, Pleasant Grove, UT 84062</t>
  </si>
  <si>
    <t>(385) 216-8993</t>
  </si>
  <si>
    <t>brenda@acapulcomarble.com</t>
  </si>
  <si>
    <t>Accena Group</t>
  </si>
  <si>
    <t>Ken Adams</t>
  </si>
  <si>
    <t>361 W 1200 N, American Fork, UT 84003</t>
  </si>
  <si>
    <t>(801) 615-2930</t>
  </si>
  <si>
    <t>support@StormwaterPlan.com</t>
  </si>
  <si>
    <t>Ace Coatings</t>
  </si>
  <si>
    <t>Jace Kelly</t>
  </si>
  <si>
    <t>1583 S 2520 E, Spanish Fork, UT 84660</t>
  </si>
  <si>
    <t>(385) 269-0060</t>
  </si>
  <si>
    <t>info@acecoatingsutah.com</t>
  </si>
  <si>
    <t>Acute Engineering</t>
  </si>
  <si>
    <t>Alison Simpson</t>
  </si>
  <si>
    <t>744 S 400 E, Orem, UT 84097</t>
  </si>
  <si>
    <t>(801) 229-9020</t>
  </si>
  <si>
    <t>brandon@acuteengineering.com</t>
  </si>
  <si>
    <t>Adams Construction Forensics</t>
  </si>
  <si>
    <t>(801) 367-2746</t>
  </si>
  <si>
    <t>ken.adams.cm@gmail.com</t>
  </si>
  <si>
    <t>Adamson Construction Company, LC</t>
  </si>
  <si>
    <t>Kay B. Adamson</t>
  </si>
  <si>
    <t>820 N 1200 E, Lehi, UT 84043</t>
  </si>
  <si>
    <t>(801) 360-0136</t>
  </si>
  <si>
    <t>kay_b_adamson@yahoo.com</t>
  </si>
  <si>
    <t>Advanced Aqua Systems</t>
  </si>
  <si>
    <t>Chris Phillips</t>
  </si>
  <si>
    <t>250 Red Cliff Dr, #4B-224, St George, UT 84790</t>
  </si>
  <si>
    <t>(435) 817-2600</t>
  </si>
  <si>
    <t>service@advancedaquasystems.com</t>
  </si>
  <si>
    <t>Advanced Window Films LLC</t>
  </si>
  <si>
    <t>Aaron Rumfallo</t>
  </si>
  <si>
    <t>12174 S Emerald Peak Ct, Draper, UT 84020</t>
  </si>
  <si>
    <t>(435) 879-5810</t>
  </si>
  <si>
    <t>solutions@advancedwindowfilms.com</t>
  </si>
  <si>
    <t>Aero Custom Homes</t>
  </si>
  <si>
    <t>Rob Chatwin</t>
  </si>
  <si>
    <t>11562 N Skyline Dr, Highland, UT 84003</t>
  </si>
  <si>
    <t>(801) 649-3456</t>
  </si>
  <si>
    <t>ILive@AeroCustomHomes.com</t>
  </si>
  <si>
    <t>Against the Grain Woodworks</t>
  </si>
  <si>
    <t>Coral Twiggs</t>
  </si>
  <si>
    <t>2035 N 1300 W, Pleasant Grove, UT 84602</t>
  </si>
  <si>
    <t>(801) 420-1595</t>
  </si>
  <si>
    <t>coralconst@msn.com</t>
  </si>
  <si>
    <t>Ahava Builders LLC</t>
  </si>
  <si>
    <t>Pedro Etchebest</t>
  </si>
  <si>
    <t>Orem, UT 84059</t>
  </si>
  <si>
    <t>(801) 609-5600</t>
  </si>
  <si>
    <t>info@ahavabuildersllc.com</t>
  </si>
  <si>
    <t>Air Source Heating &amp; Cooling Inc.</t>
  </si>
  <si>
    <t>Zak Hansen</t>
  </si>
  <si>
    <t>2475 Decker Lake Blvd, West Valley City, UT 84119</t>
  </si>
  <si>
    <t>(801) 694-9990</t>
  </si>
  <si>
    <t>airsourcehvac@hotmail.com</t>
  </si>
  <si>
    <t>Alera Group Benefits</t>
  </si>
  <si>
    <t>Andy Spurlock</t>
  </si>
  <si>
    <t>13693 S 200 W, Floor 3, Draper, UT 84020</t>
  </si>
  <si>
    <t>andy@banasky.com</t>
  </si>
  <si>
    <t>Alex Adamson Design</t>
  </si>
  <si>
    <t>Alex Adamson</t>
  </si>
  <si>
    <t>1144 W Early Light Way, Bluffdale, UT 84065</t>
  </si>
  <si>
    <t>(509) 385-1096</t>
  </si>
  <si>
    <t>alex@alexadamsondesign.com</t>
  </si>
  <si>
    <t>Ali Henrie Design</t>
  </si>
  <si>
    <t>Ali Henrie</t>
  </si>
  <si>
    <t>1319 N 2950 W, Lehi, UT 84043</t>
  </si>
  <si>
    <t>(801) 592-6902</t>
  </si>
  <si>
    <t>alihenrie@gmail.com</t>
  </si>
  <si>
    <t>Ali Ryan Design</t>
  </si>
  <si>
    <t>Ali Ryan</t>
  </si>
  <si>
    <t>815 N Spring Lane, Spanish Fork, UT 84660</t>
  </si>
  <si>
    <t>(435) 610-6660</t>
  </si>
  <si>
    <t>aliryanstanley@gmail.com</t>
  </si>
  <si>
    <t>All Service Mechanical</t>
  </si>
  <si>
    <t>Jared Sorenson</t>
  </si>
  <si>
    <t>717 E 230 S, Santaquin, UT 84655</t>
  </si>
  <si>
    <t>(801) 850-1157</t>
  </si>
  <si>
    <t>asmco@live.com</t>
  </si>
  <si>
    <t>All Star Garage Doors, Inc.</t>
  </si>
  <si>
    <t>Jason Beck</t>
  </si>
  <si>
    <t>165 E Frontage Rd, American Fork, UT 84003</t>
  </si>
  <si>
    <t>(801) 763-1114</t>
  </si>
  <si>
    <t>bailey@allstardoors.com</t>
  </si>
  <si>
    <t>All Star Roofing</t>
  </si>
  <si>
    <t>Shawn Amos</t>
  </si>
  <si>
    <t>PO Box 1751, Orem, UT 84059</t>
  </si>
  <si>
    <t>(801) 381-0727</t>
  </si>
  <si>
    <t>shawnamos@gmail.com</t>
  </si>
  <si>
    <t>All Utah Construction</t>
  </si>
  <si>
    <t>Nancy Collins</t>
  </si>
  <si>
    <t>1427 N 500 E, Pleasant Grove, UT 84062</t>
  </si>
  <si>
    <t>(801) 960-5404</t>
  </si>
  <si>
    <t>allutah@outlook.com</t>
  </si>
  <si>
    <t>Allied Home Contractors</t>
  </si>
  <si>
    <t>Taylor</t>
  </si>
  <si>
    <t>2901 Bluegrass Blvd, #200-87, Lehi, UT 84043</t>
  </si>
  <si>
    <t>(385) 412-8088</t>
  </si>
  <si>
    <t>taylor@alliedhomecontractors.com</t>
  </si>
  <si>
    <t>Allied Painters Inc.</t>
  </si>
  <si>
    <t>Lyndsey Czech</t>
  </si>
  <si>
    <t>968 McCormick Way, Layton, UT 84041</t>
  </si>
  <si>
    <t>(801) 771-2222</t>
  </si>
  <si>
    <t>lyndsey@alliedpainters.com</t>
  </si>
  <si>
    <t>Allison Campbell Design</t>
  </si>
  <si>
    <t>Allison Campbell</t>
  </si>
  <si>
    <t>5815 W 10040 N, Highland, UT 84003</t>
  </si>
  <si>
    <t>(801) 372-3413</t>
  </si>
  <si>
    <t>allisoncampbelldesign@gmail.com</t>
  </si>
  <si>
    <t>Aloha Pavers</t>
  </si>
  <si>
    <t>Kalei Duke</t>
  </si>
  <si>
    <t>815 W 1250 S, Orem, UT 84058</t>
  </si>
  <si>
    <t>(801) 252-6641</t>
  </si>
  <si>
    <t>office@alohalandscapeut.com</t>
  </si>
  <si>
    <t>Alside: Exterior Building Products</t>
  </si>
  <si>
    <t>Patrick Gerrard</t>
  </si>
  <si>
    <t>485 S 1325 W, Orem, UT 84058</t>
  </si>
  <si>
    <t>(801) 224-3636</t>
  </si>
  <si>
    <t>pgerrard@alside.com</t>
  </si>
  <si>
    <t>Altabank, Division of Glacier Bank</t>
  </si>
  <si>
    <t>RaVal Rasmussen</t>
  </si>
  <si>
    <t>5405 W 11000 N, Highland, UT 84003</t>
  </si>
  <si>
    <t>(801) 316-4649</t>
  </si>
  <si>
    <t>raval.rasmussen@altabank.com</t>
  </si>
  <si>
    <t>Altaview Concrete</t>
  </si>
  <si>
    <t>Kelly Chatterton</t>
  </si>
  <si>
    <t>7057 W 2100 S, Salt Lake City, UT 84128</t>
  </si>
  <si>
    <t>(801) 250-0132</t>
  </si>
  <si>
    <t>kelly.chatterton@altaviewconcrete.com</t>
  </si>
  <si>
    <t>Altitude Control Technology</t>
  </si>
  <si>
    <t>Craig Jensen</t>
  </si>
  <si>
    <t>616 Kolob Circle, Springville, UT 84663</t>
  </si>
  <si>
    <t>(801) 376-6565</t>
  </si>
  <si>
    <t>craig.jensen@altitudecontrol.com</t>
  </si>
  <si>
    <t>America First Credit Union</t>
  </si>
  <si>
    <t>Cate Burrows</t>
  </si>
  <si>
    <t>PO Box 9199, Ogden, UT 84409</t>
  </si>
  <si>
    <t>(801) 827-7566</t>
  </si>
  <si>
    <t>cburrows@americafirst.com</t>
  </si>
  <si>
    <t>American Family Insurance</t>
  </si>
  <si>
    <t>Tim Shanto</t>
  </si>
  <si>
    <t>690 N Main St, Spanish Fork, UT 84660</t>
  </si>
  <si>
    <t>(801) 794-0933</t>
  </si>
  <si>
    <t>tshanto@amfam.com</t>
  </si>
  <si>
    <t>American Fork City</t>
  </si>
  <si>
    <t>David H Bunker</t>
  </si>
  <si>
    <t>51 E Main, American Fork, UT 84003</t>
  </si>
  <si>
    <t>(801) 763-3000</t>
  </si>
  <si>
    <t>dbunker@afcity.net</t>
  </si>
  <si>
    <t>American Homestead Furniture</t>
  </si>
  <si>
    <t>Bailee Nebeker</t>
  </si>
  <si>
    <t>4801 N University Ave, #360, Provo, UT 84604</t>
  </si>
  <si>
    <t>(801) 836-5632</t>
  </si>
  <si>
    <t>ballee@americanhomesteadfurniture.com</t>
  </si>
  <si>
    <t>AMH Development</t>
  </si>
  <si>
    <t>Jennifer Bowen</t>
  </si>
  <si>
    <t>308 E 4500 S, #200, Murray, UT 84107</t>
  </si>
  <si>
    <t>(855) 774-4663</t>
  </si>
  <si>
    <t>jbowen@amh.com</t>
  </si>
  <si>
    <t>Amity Homes</t>
  </si>
  <si>
    <t>Shane Peterson</t>
  </si>
  <si>
    <t>2932 W 110 N, Lehi, UT 84043</t>
  </si>
  <si>
    <t>(801) 830-0789</t>
  </si>
  <si>
    <t>shane@anityutah.com</t>
  </si>
  <si>
    <t>AMP Services</t>
  </si>
  <si>
    <t>Mike Schwartz</t>
  </si>
  <si>
    <t>345 E 200 N, Lindon, UT 84042</t>
  </si>
  <si>
    <t>(801) 471-7129</t>
  </si>
  <si>
    <t>ampservicesutah@gmail.com</t>
  </si>
  <si>
    <t>AMSCO Windows</t>
  </si>
  <si>
    <t>Brent Mangum</t>
  </si>
  <si>
    <t>1880 S 1045 W, Salt Lake City, UT 84104</t>
  </si>
  <si>
    <t>(801) 978-5000</t>
  </si>
  <si>
    <t>matt@amscowindows.com</t>
  </si>
  <si>
    <t>AMT Integration</t>
  </si>
  <si>
    <t>Jereme</t>
  </si>
  <si>
    <t>6146 S 350 W, #A, Murray, UT 84107</t>
  </si>
  <si>
    <t>(801) 330-8320</t>
  </si>
  <si>
    <t>jereme@allmetrotech.com</t>
  </si>
  <si>
    <t>Anchor Construction &amp; Design</t>
  </si>
  <si>
    <t>Jereme Barnes</t>
  </si>
  <si>
    <t>266 Mountain Way Dr, Orem, UT 84058</t>
  </si>
  <si>
    <t>(801) 380-6807</t>
  </si>
  <si>
    <t>anchorhomesutah@gmail.com</t>
  </si>
  <si>
    <t>Anderson Builders Utah</t>
  </si>
  <si>
    <t>Anderson Francisco</t>
  </si>
  <si>
    <t>489 S Jordan Parkway, #232, South Jordan, UT 84094</t>
  </si>
  <si>
    <t>(385) 645-9360</t>
  </si>
  <si>
    <t>andersonsremodeling@outlook.com</t>
  </si>
  <si>
    <t>Anderson Monograms</t>
  </si>
  <si>
    <t>Jerilyn Anderson</t>
  </si>
  <si>
    <t>511 N 1200 W, Orem, UT 84057</t>
  </si>
  <si>
    <t>(801) 224-9744</t>
  </si>
  <si>
    <t>Jerilyn@andersonmonograms.com</t>
  </si>
  <si>
    <t>Anthem Custom Homes</t>
  </si>
  <si>
    <t>Chase</t>
  </si>
  <si>
    <t>1405 N 70 W, American Fork, UT 84003</t>
  </si>
  <si>
    <t>(435) 896-3097</t>
  </si>
  <si>
    <t>chase@anthemcustomhomes.com</t>
  </si>
  <si>
    <t>Apex Drywall &amp; Construction</t>
  </si>
  <si>
    <t>Richard Miller</t>
  </si>
  <si>
    <t>691 E 180 N, Santaquin, UT 84655</t>
  </si>
  <si>
    <t>(385) 200-4791</t>
  </si>
  <si>
    <t>richardmiller.drywall@gmail.com</t>
  </si>
  <si>
    <t>Apple Spice Junction</t>
  </si>
  <si>
    <t>Craig Reaveley</t>
  </si>
  <si>
    <t>667 North A Street, Orem, UT 84057</t>
  </si>
  <si>
    <t>(801) 224-4666</t>
  </si>
  <si>
    <t>orem.sales@applespice.com</t>
  </si>
  <si>
    <t>Archer &amp; Buchanan Architecture, Ltd.</t>
  </si>
  <si>
    <t>Chad Peterson, AIA</t>
  </si>
  <si>
    <t>125 West Miner St, West Chester, PA 19382</t>
  </si>
  <si>
    <t>(610) 692-9112</t>
  </si>
  <si>
    <t>cvpeterson@archerbuchanan.com</t>
  </si>
  <si>
    <t>Arches Engineering</t>
  </si>
  <si>
    <t>Eric Scott</t>
  </si>
  <si>
    <t>1881 W Traverse Pkwy, #E425, Lehi, UT 84043</t>
  </si>
  <si>
    <t>(801) 642-4897</t>
  </si>
  <si>
    <t>eric@archesengineering.com</t>
  </si>
  <si>
    <t>Argenta</t>
  </si>
  <si>
    <t>Justin Rollins</t>
  </si>
  <si>
    <t>15568 S Broken Arrow Dr, Bluffdale, UT 84065</t>
  </si>
  <si>
    <t>(801) 618-8784</t>
  </si>
  <si>
    <t>info@argentanow.com</t>
  </si>
  <si>
    <t>Arive Homes LLC</t>
  </si>
  <si>
    <t>Mike Scoville</t>
  </si>
  <si>
    <t>733 N Main St, Spanish Fork, UT 84660</t>
  </si>
  <si>
    <t>(801) 798-5485</t>
  </si>
  <si>
    <t>mike@arivehomes.com</t>
  </si>
  <si>
    <t>Arizona Tile</t>
  </si>
  <si>
    <t>Shawna Curtis</t>
  </si>
  <si>
    <t>2300 S 4000 W, West Valley City, UT 84120</t>
  </si>
  <si>
    <t>(801) 973-0212</t>
  </si>
  <si>
    <t>scurtis@arizonatile.com</t>
  </si>
  <si>
    <t>Arlun</t>
  </si>
  <si>
    <t>Jacob Bokor</t>
  </si>
  <si>
    <t>9746 S Sandy Prkwy, #7, Sandy, UT 84070</t>
  </si>
  <si>
    <t>(385) 377-4119</t>
  </si>
  <si>
    <t>tyler.swanson@arlun.com</t>
  </si>
  <si>
    <t>Aroma Therapist</t>
  </si>
  <si>
    <t>Curtis Fullmer</t>
  </si>
  <si>
    <t>488 E Winchester St, #460, Murray, UT 84107</t>
  </si>
  <si>
    <t>(385) 289-5153</t>
  </si>
  <si>
    <t>curtis@aromatherapist.com</t>
  </si>
  <si>
    <t>Arnoldsen Construction</t>
  </si>
  <si>
    <t>Stefan Arnoldsen</t>
  </si>
  <si>
    <t>539 N 900 E, Orem, UT 84097</t>
  </si>
  <si>
    <t>(801) 636-5562</t>
  </si>
  <si>
    <t>sarnoldsen@gmail.com</t>
  </si>
  <si>
    <t>Arrow Builders Inc.</t>
  </si>
  <si>
    <t>Mary Allred</t>
  </si>
  <si>
    <t>24 S Hillside Dr, Rocky Ridge, UT 84645</t>
  </si>
  <si>
    <t>(435) 623-8442</t>
  </si>
  <si>
    <t>office@arrowbuildersinc.com</t>
  </si>
  <si>
    <t>Arrow Ridge Homes</t>
  </si>
  <si>
    <t>Brandon Bare</t>
  </si>
  <si>
    <t>915 S 500 E, #205, American Fork, UT 84003</t>
  </si>
  <si>
    <t>(801) 874-2288</t>
  </si>
  <si>
    <t>robert@arrowridgehomes.com</t>
  </si>
  <si>
    <t>Ashcreek Financial Advisors</t>
  </si>
  <si>
    <t>Jefferson Bryce</t>
  </si>
  <si>
    <t>1255 S 550 W, Salem, UT 84653</t>
  </si>
  <si>
    <t>(385) 208-6005</t>
  </si>
  <si>
    <t>ashcreekfinancial@gmail.com</t>
  </si>
  <si>
    <t>Aspen Blind &amp; Drapery</t>
  </si>
  <si>
    <t>Brad Lines</t>
  </si>
  <si>
    <t>594 E 800 S, #B, Orem, UT 84097</t>
  </si>
  <si>
    <t>(801) 225-0269</t>
  </si>
  <si>
    <t>geoff@aspenblinds.com</t>
  </si>
  <si>
    <t>Aspen Creek Construction</t>
  </si>
  <si>
    <t>Britton Nielsen</t>
  </si>
  <si>
    <t>1183 S 400 E, Salem, UT 84653</t>
  </si>
  <si>
    <t>(801) 367-5636</t>
  </si>
  <si>
    <t>aspencreekconstruction@outlook.com</t>
  </si>
  <si>
    <t>Aterra Designs</t>
  </si>
  <si>
    <t>Chad Walker</t>
  </si>
  <si>
    <t>3936 Winthrope Dr, West Jordan, UT 84088</t>
  </si>
  <si>
    <t>(480) 368-9955</t>
  </si>
  <si>
    <t>chad_walker@aterradesigns.com</t>
  </si>
  <si>
    <t>Atlas Building Contractors, LLC</t>
  </si>
  <si>
    <t>Anton Halsey</t>
  </si>
  <si>
    <t>250 W Center, #360, Provo, UT 84601</t>
  </si>
  <si>
    <t>(385) 254-2525</t>
  </si>
  <si>
    <t>atlasbcllc@gmail.com</t>
  </si>
  <si>
    <t>Atlas Designer Doors</t>
  </si>
  <si>
    <t>Josh Prazen</t>
  </si>
  <si>
    <t>239 W 9000 S, Sandy, UT 84070</t>
  </si>
  <si>
    <t>(801) 996-3146</t>
  </si>
  <si>
    <t>joshprazen@gmail.com</t>
  </si>
  <si>
    <t>Atrium Architecture Engineering &amp; Design</t>
  </si>
  <si>
    <t>Josh Parkin</t>
  </si>
  <si>
    <t>3400 W Mayflower Ave, #350, Lehi, UT 84043</t>
  </si>
  <si>
    <t>(801) 435-5565</t>
  </si>
  <si>
    <t>info@atriumaed.com</t>
  </si>
  <si>
    <t>Aura Ventures</t>
  </si>
  <si>
    <t>Will Cosman</t>
  </si>
  <si>
    <t>111 S 300 W, #1007, Salt Lake City, UT 84101</t>
  </si>
  <si>
    <t>(267) 644-5695</t>
  </si>
  <si>
    <t>travis@builtbyaura.com</t>
  </si>
  <si>
    <t>Aurora Lighting &amp; Design</t>
  </si>
  <si>
    <t>Candice Arnett</t>
  </si>
  <si>
    <t>1236 W 2600 S, Woods Cross, UT 84087</t>
  </si>
  <si>
    <t>(801) 690-4527</t>
  </si>
  <si>
    <t>candice@alddesigncompany.com</t>
  </si>
  <si>
    <t>Authority Heating &amp; Cooling</t>
  </si>
  <si>
    <t>Anthon Mecham</t>
  </si>
  <si>
    <t>518 S Commerce Dr, Orem, UT 84058</t>
  </si>
  <si>
    <t>(801) 224-0777</t>
  </si>
  <si>
    <t>anthon@authorityheating.com</t>
  </si>
  <si>
    <t>Ayara</t>
  </si>
  <si>
    <t>Lori Frost</t>
  </si>
  <si>
    <t>782 S River Rd, #211, St George, UT 84790</t>
  </si>
  <si>
    <t>(385) 498-3684</t>
  </si>
  <si>
    <t>hello@ayarahome.com</t>
  </si>
  <si>
    <t>Azure Building Group</t>
  </si>
  <si>
    <t>Mylee Love</t>
  </si>
  <si>
    <t>12682 S Fort Street, Draper, UT 84020</t>
  </si>
  <si>
    <t>(801) 214-0608</t>
  </si>
  <si>
    <t>mylee@azurebuilders.com</t>
  </si>
  <si>
    <t>B&amp;D Elite Builders</t>
  </si>
  <si>
    <t>Nathan Dunham</t>
  </si>
  <si>
    <t>51 S Rockwell Ln, Vineyard, UT 84059</t>
  </si>
  <si>
    <t>(801) 717-0608</t>
  </si>
  <si>
    <t>banddelitebuilders@gmail.com</t>
  </si>
  <si>
    <t>B&amp;M Plumbing</t>
  </si>
  <si>
    <t>Bradley Cunningham</t>
  </si>
  <si>
    <t>405 W 500 S, Santaquin, UT 84655</t>
  </si>
  <si>
    <t>(801) 851-0238</t>
  </si>
  <si>
    <t>Bandmplumbingut@gmail.com</t>
  </si>
  <si>
    <t>Backyard Greens, LLC</t>
  </si>
  <si>
    <t>Cecil Read</t>
  </si>
  <si>
    <t>367 W 700 N, Orem, UT 84057</t>
  </si>
  <si>
    <t>(801) 227-7874</t>
  </si>
  <si>
    <t>cecil@backyardgreens.com</t>
  </si>
  <si>
    <t>Bank of Utah</t>
  </si>
  <si>
    <t>Jack Mangum</t>
  </si>
  <si>
    <t>3670 N University Ave, Provo, UT 84604</t>
  </si>
  <si>
    <t>(801) 409-5122</t>
  </si>
  <si>
    <t>jpackard@bankofutah.com</t>
  </si>
  <si>
    <t>Barber Welding Inc.</t>
  </si>
  <si>
    <t>Kent Barber</t>
  </si>
  <si>
    <t>814 E 1950 N, PO Box 608, Spanish Fork, UT 84660</t>
  </si>
  <si>
    <t>(801) 360-7392</t>
  </si>
  <si>
    <t>barber.welding7@gmail.com</t>
  </si>
  <si>
    <t>Barnes Construction, Inc.</t>
  </si>
  <si>
    <t>Vince Barnes</t>
  </si>
  <si>
    <t>742 E 300 N, Payson, UT 84651</t>
  </si>
  <si>
    <t>(801) 465-2152</t>
  </si>
  <si>
    <t>vabbbarnes@msn.com</t>
  </si>
  <si>
    <t>Bartile Roofs, Inc.</t>
  </si>
  <si>
    <t>Steve Evans</t>
  </si>
  <si>
    <t>725 N 1000 W, Centerville, UT 84014</t>
  </si>
  <si>
    <t>(801) 295-3443</t>
  </si>
  <si>
    <t>office@bartile.com</t>
  </si>
  <si>
    <t>Bastian Homes</t>
  </si>
  <si>
    <t>Bentley Bastian</t>
  </si>
  <si>
    <t>1116 S 730 W, Payson, UT 84651</t>
  </si>
  <si>
    <t>(801) 210-7878</t>
  </si>
  <si>
    <t>bentley@bastianhomes.com</t>
  </si>
  <si>
    <t>BBSI</t>
  </si>
  <si>
    <t>Travis Clemens</t>
  </si>
  <si>
    <t>333 E Main St, #1001, Lehi, UT 84040</t>
  </si>
  <si>
    <t>(801) 631-8187</t>
  </si>
  <si>
    <t>kiley.hix@BBSIHQ.com</t>
  </si>
  <si>
    <t>BC Custom Homes LLC</t>
  </si>
  <si>
    <t>Carson Call</t>
  </si>
  <si>
    <t>10153 N Riverside Ln, Highland, UT 84003</t>
  </si>
  <si>
    <t>(801) 472-0664</t>
  </si>
  <si>
    <t>carson@bccustomhomesutah.com</t>
  </si>
  <si>
    <t>BC Countertops</t>
  </si>
  <si>
    <t>Brandon Page</t>
  </si>
  <si>
    <t>977 N 1500 W, Orem, UT 84057</t>
  </si>
  <si>
    <t>(801) 628-0604</t>
  </si>
  <si>
    <t>brandon.bccountertops@gmail.com</t>
  </si>
  <si>
    <t>BDC Home Design</t>
  </si>
  <si>
    <t>Brian Carrick</t>
  </si>
  <si>
    <t>1194 S 1740 W, Payson, UT 84651</t>
  </si>
  <si>
    <t>(801) 367-0801</t>
  </si>
  <si>
    <t>Brian@BDC-HomeDesign.com</t>
  </si>
  <si>
    <t>Beacon Homes</t>
  </si>
  <si>
    <t>Paul Pedersen</t>
  </si>
  <si>
    <t>807 E Pacific Dr, #B, American Fork, UT 84003</t>
  </si>
  <si>
    <t>(801) 380-8472</t>
  </si>
  <si>
    <t>paul@beaconhomesutah.com</t>
  </si>
  <si>
    <t>Bedrock Quartz</t>
  </si>
  <si>
    <t>Scot Nichols</t>
  </si>
  <si>
    <t>5996 W Dannon Wy, West Jordan, UT 84081</t>
  </si>
  <si>
    <t>(801) 282-3322</t>
  </si>
  <si>
    <t>scot@bedrockquartz.com</t>
  </si>
  <si>
    <t>Bee Neat Cleaning Co</t>
  </si>
  <si>
    <t>Cory Lignell</t>
  </si>
  <si>
    <t>171 N Palomino Way, Lehi, UT 84043</t>
  </si>
  <si>
    <t>(801) 755-8240</t>
  </si>
  <si>
    <t>info@beeneatcleaningco.com</t>
  </si>
  <si>
    <t>Beehive Insurance Agency</t>
  </si>
  <si>
    <t>Joanie Hardcastle</t>
  </si>
  <si>
    <t>730 N 1500 W, Orem, UT 84057</t>
  </si>
  <si>
    <t>(801) 685-6862</t>
  </si>
  <si>
    <t>tperkes@beehiveinsurance.com</t>
  </si>
  <si>
    <t>Beehive State Builders</t>
  </si>
  <si>
    <t>Matt F Brown</t>
  </si>
  <si>
    <t>40 W Main, Lehi, UT 84043</t>
  </si>
  <si>
    <t>(801) 472-2497</t>
  </si>
  <si>
    <t>matt@beehivestatebuilders.com</t>
  </si>
  <si>
    <t>Better Homes &amp; Gardens Real Estate - Momentum</t>
  </si>
  <si>
    <t>Aaron Drussel</t>
  </si>
  <si>
    <t>210 N 1200 E, #100, Lehi, UT 84043</t>
  </si>
  <si>
    <t>(801) 234-0505</t>
  </si>
  <si>
    <t>aaron@UtahRealEstateSecrets.com</t>
  </si>
  <si>
    <t>Between Soil &amp; Sky</t>
  </si>
  <si>
    <t>Krysta Yates</t>
  </si>
  <si>
    <t>8964 S Black Pine St, West Jordan, UT 84088</t>
  </si>
  <si>
    <t>(435) 201-1424</t>
  </si>
  <si>
    <t>krysta@betweensoilandsky.com</t>
  </si>
  <si>
    <t>Big Paws Construction</t>
  </si>
  <si>
    <t>Stephanie Cox</t>
  </si>
  <si>
    <t>1207 E 520 S, Provo, UT 84606</t>
  </si>
  <si>
    <t>(435) 229-5616</t>
  </si>
  <si>
    <t>bigpawsconstruction@gmail.com</t>
  </si>
  <si>
    <t>Big Red Jelly</t>
  </si>
  <si>
    <t>Justin Stephens</t>
  </si>
  <si>
    <t>2545 N Canyon Rd, #210, Provo, UT 84604</t>
  </si>
  <si>
    <t>(435) 631-9968</t>
  </si>
  <si>
    <t>justin@bigredjelly.com</t>
  </si>
  <si>
    <t>Big Sky Custom Construction</t>
  </si>
  <si>
    <t>Colby Davis</t>
  </si>
  <si>
    <t>1281 S Barley Dr, Spanish Fork, UT 84660</t>
  </si>
  <si>
    <t>(801) 360-6956</t>
  </si>
  <si>
    <t>Colby@bigskycustomconstruction.com</t>
  </si>
  <si>
    <t>Bin There Dump That Salt Lake</t>
  </si>
  <si>
    <t>Harmony Faga</t>
  </si>
  <si>
    <t>saltlakewest@bintheredumpthat.com</t>
  </si>
  <si>
    <t>Bird Homes</t>
  </si>
  <si>
    <t>Brian Bird</t>
  </si>
  <si>
    <t>980 E 800 N, #102, Orem, UT 84097</t>
  </si>
  <si>
    <t>(385) 250-2900</t>
  </si>
  <si>
    <t>info@birdhomes.net</t>
  </si>
  <si>
    <t>BirdPro Painting</t>
  </si>
  <si>
    <t>Colby Bird</t>
  </si>
  <si>
    <t>1097 S 900 E, Salem, UT 84653</t>
  </si>
  <si>
    <t>(801) 885-0951</t>
  </si>
  <si>
    <t>birdpropainting@gmail.com</t>
  </si>
  <si>
    <t>BK Virtual Homes</t>
  </si>
  <si>
    <t>Brad Gerratt</t>
  </si>
  <si>
    <t>1044 W 1410 S, Orem, UT 84058</t>
  </si>
  <si>
    <t>(385) 479-1005</t>
  </si>
  <si>
    <t>brad@bkvrenderings.com</t>
  </si>
  <si>
    <t>Black Granite Installations LLC</t>
  </si>
  <si>
    <t>Steve Wilmarth</t>
  </si>
  <si>
    <t>2612 S 2700 W, West Valley City, UT 84115</t>
  </si>
  <si>
    <t>(801) 467-4439</t>
  </si>
  <si>
    <t>sw@blackgranite.us</t>
  </si>
  <si>
    <t>Black Wolf Roofing</t>
  </si>
  <si>
    <t>Chase Moore</t>
  </si>
  <si>
    <t>333 E Main St, #554, Lehi, UT 84045</t>
  </si>
  <si>
    <t>(801) 615-0266</t>
  </si>
  <si>
    <t>chase@blackwolfroofingco.com</t>
  </si>
  <si>
    <t>Blackburn Build</t>
  </si>
  <si>
    <t>Dennis Blackburn</t>
  </si>
  <si>
    <t>583 Dutch Ridge Ct, Midway, UT 84049</t>
  </si>
  <si>
    <t>(385) 208-5395</t>
  </si>
  <si>
    <t>Dennis@blackburnbuild.com</t>
  </si>
  <si>
    <t>Blackrock Decks</t>
  </si>
  <si>
    <t>Shae Hansen</t>
  </si>
  <si>
    <t>1034 W 300 S, Lehi, UT 84043</t>
  </si>
  <si>
    <t>(385) 209-6388</t>
  </si>
  <si>
    <t>shae@blackrockdecks.com</t>
  </si>
  <si>
    <t>BLJ Construction</t>
  </si>
  <si>
    <t>Brandon Jones</t>
  </si>
  <si>
    <t>62 N Grant Ave, #201, American Fork, UT 84003</t>
  </si>
  <si>
    <t>(801) 897-7250</t>
  </si>
  <si>
    <t>bljconstruction80@gmail.com</t>
  </si>
  <si>
    <t>Blue Jay Companies</t>
  </si>
  <si>
    <t>John Sorenson</t>
  </si>
  <si>
    <t>6336 Lone Rock Rd, Highland, UT 84003</t>
  </si>
  <si>
    <t>(801) 380-9587</t>
  </si>
  <si>
    <t>sorenson.john204@gmail.com.com</t>
  </si>
  <si>
    <t>Blue Ridge Builders</t>
  </si>
  <si>
    <t>Greg Thurgood</t>
  </si>
  <si>
    <t>1780 N 120 E, Orem, UT 84057</t>
  </si>
  <si>
    <t>(801) 602-0255</t>
  </si>
  <si>
    <t>greg@blueridge.build</t>
  </si>
  <si>
    <t>Blue Stone Group</t>
  </si>
  <si>
    <t>Joe Allen</t>
  </si>
  <si>
    <t>1462 W 400 S, Orem, UT 84058</t>
  </si>
  <si>
    <t>(801) 420-6915</t>
  </si>
  <si>
    <t>joeallen66@msn.com</t>
  </si>
  <si>
    <t>Blue Water Excavation</t>
  </si>
  <si>
    <t>Mike Trotter</t>
  </si>
  <si>
    <t>588 N 2670 W, Provo, UT 84601</t>
  </si>
  <si>
    <t>(801) 687-1697</t>
  </si>
  <si>
    <t>trotterlandscape@gmail.com</t>
  </si>
  <si>
    <t>Blueprinted Homes</t>
  </si>
  <si>
    <t>825 N 730 E, American Fork, UT 84003</t>
  </si>
  <si>
    <t>(801) 830-9086</t>
  </si>
  <si>
    <t>blueprintedhomes@gmail.com</t>
  </si>
  <si>
    <t>Bluroc Development</t>
  </si>
  <si>
    <t>Jason Valgardson</t>
  </si>
  <si>
    <t>1512 W 2100 N, Pleasant Grove, UT 84062</t>
  </si>
  <si>
    <t>(801) 420-4739</t>
  </si>
  <si>
    <t>blurocdevelopment@gmail.com</t>
  </si>
  <si>
    <t>Blvd Home</t>
  </si>
  <si>
    <t>Cam Hatanaka</t>
  </si>
  <si>
    <t>390 N Mall Dr, St George, UT 84790</t>
  </si>
  <si>
    <t>(435) 986-3100</t>
  </si>
  <si>
    <t>cam.hatanaka@blvdhome.com</t>
  </si>
  <si>
    <t>Bone Bucket</t>
  </si>
  <si>
    <t>Charles Bones Leavitt</t>
  </si>
  <si>
    <t>653 N 500 E, Pleasant Grove, UT 84062</t>
  </si>
  <si>
    <t>(385) 221-9106</t>
  </si>
  <si>
    <t>bonebucketwashout@gmail.com</t>
  </si>
  <si>
    <t>Bonsai Flooring</t>
  </si>
  <si>
    <t>Brook Smith</t>
  </si>
  <si>
    <t>1501 S Mill Rd, Spanish Fork, UT 84660</t>
  </si>
  <si>
    <t>(801) 400-6837</t>
  </si>
  <si>
    <t>brook@bonsaiflooring.com</t>
  </si>
  <si>
    <t>Bookkeeping for Contractors</t>
  </si>
  <si>
    <t>Kierston Ward</t>
  </si>
  <si>
    <t>2140 W 700 S, #2, Springville, UT 84663</t>
  </si>
  <si>
    <t>(801) 927-0299</t>
  </si>
  <si>
    <t>admin@bookkeepingforcontractors.com</t>
  </si>
  <si>
    <t>Boss Drywall inc.</t>
  </si>
  <si>
    <t>Edward Bustillos</t>
  </si>
  <si>
    <t>7056 W Hightower Rd, West Valley City, UT 84081</t>
  </si>
  <si>
    <t>(801) 824-7667</t>
  </si>
  <si>
    <t>bossdrywallinc@gmail.com</t>
  </si>
  <si>
    <t>Boulder Beach</t>
  </si>
  <si>
    <t>Jessica Krantz</t>
  </si>
  <si>
    <t>452 W Center St, #107, Pleasant Grove, UT 84062</t>
  </si>
  <si>
    <t>(808) 772-0367</t>
  </si>
  <si>
    <t>shopboulderbeach@gmail.com</t>
  </si>
  <si>
    <t>Boxwood Interiors</t>
  </si>
  <si>
    <t>Jeremy Palmer</t>
  </si>
  <si>
    <t>72 N Main St, Spanish Fork, UT 84660</t>
  </si>
  <si>
    <t>(801) 785-6858</t>
  </si>
  <si>
    <t>jeremy@boxwood-home.com</t>
  </si>
  <si>
    <t>Brick Design Co</t>
  </si>
  <si>
    <t>Robert Backmore</t>
  </si>
  <si>
    <t>428 UT-198, #B, Salem, UT 84653</t>
  </si>
  <si>
    <t>(801) 850-8880</t>
  </si>
  <si>
    <t>robert@brickdesign.co</t>
  </si>
  <si>
    <t>Bright Homes</t>
  </si>
  <si>
    <t>Jon Traveller</t>
  </si>
  <si>
    <t>3000 N Triumph Blvd, #100, Lehi, UT 84043</t>
  </si>
  <si>
    <t>(801) 420-5028</t>
  </si>
  <si>
    <t>jon@brighthomesutah.com</t>
  </si>
  <si>
    <t>Brinkerhoff Custom Construction</t>
  </si>
  <si>
    <t>Dustin Brinkerhoff</t>
  </si>
  <si>
    <t>1911 W Yarrow Dr, Mapleton, UT 84663</t>
  </si>
  <si>
    <t>(801) 404-1960</t>
  </si>
  <si>
    <t>dustin@brinkerhoffcc.com</t>
  </si>
  <si>
    <t>Brinkerhoff Drywall</t>
  </si>
  <si>
    <t>Ron Brinkerhoff</t>
  </si>
  <si>
    <t>4068 W 7300 S, Benjamin, UT 84660</t>
  </si>
  <si>
    <t>(801) 404-0231</t>
  </si>
  <si>
    <t>brinkerhoffdrywallllc@gmail.com</t>
  </si>
  <si>
    <t>Brite AV Solutions, LLC</t>
  </si>
  <si>
    <t>Diane Zakrzewski</t>
  </si>
  <si>
    <t>4554 N Forestdale Dr, #E32, Park City, UT 84098</t>
  </si>
  <si>
    <t>(801) 218-2461</t>
  </si>
  <si>
    <t>info@briteav.com</t>
  </si>
  <si>
    <t>Bryce Nelson Construction</t>
  </si>
  <si>
    <t>Bryce Nelson</t>
  </si>
  <si>
    <t>4014 W Sawgrass, Cedar Hills, UT 84062</t>
  </si>
  <si>
    <t>(801) 836-5650</t>
  </si>
  <si>
    <t>bryce@bnchomes.com</t>
  </si>
  <si>
    <t>Builders FirstSource</t>
  </si>
  <si>
    <t>Byron Baird</t>
  </si>
  <si>
    <t>1350 N Main St, Spanish Fork, UT 84660</t>
  </si>
  <si>
    <t>(801) 504-9507</t>
  </si>
  <si>
    <t>byron.baird@bldr.com</t>
  </si>
  <si>
    <t>Built Construction</t>
  </si>
  <si>
    <t>Steve Morley</t>
  </si>
  <si>
    <t>107 N Clark Ln, Elk Ridge, UT 84651</t>
  </si>
  <si>
    <t>(801) 368-5808</t>
  </si>
  <si>
    <t>sdmorley@gmail.com</t>
  </si>
  <si>
    <t>Built by Design Construction</t>
  </si>
  <si>
    <t>Jared Weiss</t>
  </si>
  <si>
    <t>331 S Rio Grande Ave, Salt Lake City, UT 84101</t>
  </si>
  <si>
    <t>(385) 528-8961</t>
  </si>
  <si>
    <t>jared@builtbdc.com</t>
  </si>
  <si>
    <t>Burby Homes</t>
  </si>
  <si>
    <t>Brian Burby</t>
  </si>
  <si>
    <t>515 W 2000 N, Mapleton, UT 84664</t>
  </si>
  <si>
    <t>(801) 836-6835</t>
  </si>
  <si>
    <t>burbyhomes@comcast.net</t>
  </si>
  <si>
    <t>Burningham Enterprises, Inc.</t>
  </si>
  <si>
    <t>Gary Burningham</t>
  </si>
  <si>
    <t>95 N 200 E, American Fork, UT 84003</t>
  </si>
  <si>
    <t>(801) 756-8138</t>
  </si>
  <si>
    <t>garyb@burninghamtrucking.com</t>
  </si>
  <si>
    <t>Burton Lumber</t>
  </si>
  <si>
    <t>Caleb Williams</t>
  </si>
  <si>
    <t>1170 S 4400 W, Salt Lake City, UT 84104</t>
  </si>
  <si>
    <t>calebw@burtonlumber.com</t>
  </si>
  <si>
    <t>Bybee + Co Realty, LLC</t>
  </si>
  <si>
    <t>Adam Losee</t>
  </si>
  <si>
    <t>7608 Holden St, Midvale, UT 84047</t>
  </si>
  <si>
    <t>(801) 233-8191</t>
  </si>
  <si>
    <t>adamloseerealestate@gmail.com</t>
  </si>
  <si>
    <t>BYU Construction Management</t>
  </si>
  <si>
    <t>James Smith</t>
  </si>
  <si>
    <t>230 SNLB, Provo, UT 84602</t>
  </si>
  <si>
    <t>(801) 422-2021</t>
  </si>
  <si>
    <t>jamessmith@byu.edu</t>
  </si>
  <si>
    <t>BYU Physical Facilities</t>
  </si>
  <si>
    <t>Bart Smith</t>
  </si>
  <si>
    <t>BYU BRWB, Office 201, Provo, UT 84602</t>
  </si>
  <si>
    <t>(801) 422-5411</t>
  </si>
  <si>
    <t>dennis_patten@byu.edu</t>
  </si>
  <si>
    <t>C.U.R.E. Design</t>
  </si>
  <si>
    <t>Alicia Hansen</t>
  </si>
  <si>
    <t>14187 S Veranda Ct, Herriman, UT 84096</t>
  </si>
  <si>
    <t>(801) 921-3330</t>
  </si>
  <si>
    <t>aahansen21@gmail.com</t>
  </si>
  <si>
    <t>C&amp;C Mechanical</t>
  </si>
  <si>
    <t>Shawn Campbell</t>
  </si>
  <si>
    <t>1396 W 200 S, #1A, Lindon, UT 84042</t>
  </si>
  <si>
    <t>(801) 372-9279</t>
  </si>
  <si>
    <t>ccmechanical67@hotmail.com</t>
  </si>
  <si>
    <t>Cabinetry by Karman</t>
  </si>
  <si>
    <t>Allen Garcia</t>
  </si>
  <si>
    <t>6000 S Stratler St, Salt Lake City, UT 84107</t>
  </si>
  <si>
    <t>(801) 268-3581</t>
  </si>
  <si>
    <t>Agarcia@cabinetrybykarman.com</t>
  </si>
  <si>
    <t>Caddis Electric</t>
  </si>
  <si>
    <t>Tyler Thorn</t>
  </si>
  <si>
    <t>636 S 400 E, Springville, UT 84663</t>
  </si>
  <si>
    <t>(801) 691-8220</t>
  </si>
  <si>
    <t>tyler@caddiselectric.com</t>
  </si>
  <si>
    <t>Cadence Homes LLC</t>
  </si>
  <si>
    <t>Jared Hanson</t>
  </si>
  <si>
    <t>2801 N Thanksgiving Way, Lehi, UT 84043</t>
  </si>
  <si>
    <t>(801) 616-6629</t>
  </si>
  <si>
    <t>jared@cadencehomes.com</t>
  </si>
  <si>
    <t>California Pools SL</t>
  </si>
  <si>
    <t>Michael Burrup</t>
  </si>
  <si>
    <t>14476 Center Point Way, #300, Bluffdale, UT 84065</t>
  </si>
  <si>
    <t>(801) 875-3467</t>
  </si>
  <si>
    <t>carlybrown@californiapools.com</t>
  </si>
  <si>
    <t>Cambria</t>
  </si>
  <si>
    <t>Collin Taylor</t>
  </si>
  <si>
    <t>1810 W Redwood Depot Ln, #9, Salt Lake City, UT 84104</t>
  </si>
  <si>
    <t>(801) 200-8911</t>
  </si>
  <si>
    <t>Collin.Taylor@cambriausa.com</t>
  </si>
  <si>
    <t>Cambridge Financial Network</t>
  </si>
  <si>
    <t>Zach Johanson</t>
  </si>
  <si>
    <t>10813 S River Front Pkwy, South Jordan, UT 84095</t>
  </si>
  <si>
    <t>(801) 427-9440</t>
  </si>
  <si>
    <t>zach@cambridgefn.com</t>
  </si>
  <si>
    <t>Cambridge Home Company</t>
  </si>
  <si>
    <t>Rochelle Broadhead</t>
  </si>
  <si>
    <t>4752 W Stoney Brook Ln, Highland, UT 84003</t>
  </si>
  <si>
    <t>(801) 971-5545</t>
  </si>
  <si>
    <t>chell@cambridgehomecompany.com</t>
  </si>
  <si>
    <t>Candlelight Homes</t>
  </si>
  <si>
    <t>Tony Burdette</t>
  </si>
  <si>
    <t>14034 S 145 E, #202, Draper, UT 84020</t>
  </si>
  <si>
    <t>(801) 260-3061</t>
  </si>
  <si>
    <t>ty@candlelighthomes.com</t>
  </si>
  <si>
    <t>Capita Financial Network</t>
  </si>
  <si>
    <t>Tanner Smith</t>
  </si>
  <si>
    <t>9980 S 300 W, #140, Sandy, UT 84070</t>
  </si>
  <si>
    <t>(801) 566-5058</t>
  </si>
  <si>
    <t>tanner@capitamail.com</t>
  </si>
  <si>
    <t>Capital Community Bank</t>
  </si>
  <si>
    <t>Dustin Phillips</t>
  </si>
  <si>
    <t>3280 N University Ave, Provo, UT 84604</t>
  </si>
  <si>
    <t>(801) 669-5722</t>
  </si>
  <si>
    <t>dustin.phillips@ccbank.com</t>
  </si>
  <si>
    <t>Capital One</t>
  </si>
  <si>
    <t>Jordan Smith</t>
  </si>
  <si>
    <t>5902 W Canterbury Park Cir, Highland, UT 84003</t>
  </si>
  <si>
    <t>(801) 310-3142</t>
  </si>
  <si>
    <t>jordan.smith2@capitalone.com</t>
  </si>
  <si>
    <t>Carpet Diem</t>
  </si>
  <si>
    <t>Holly Waddington</t>
  </si>
  <si>
    <t>12393 Gateway Park Pl, #E-600, Draper, UT 84020</t>
  </si>
  <si>
    <t>(801) 545-0880</t>
  </si>
  <si>
    <t>holly@carpetdiem.us</t>
  </si>
  <si>
    <t>Carpets America</t>
  </si>
  <si>
    <t>Matt Staker</t>
  </si>
  <si>
    <t>860 W Center, Provo, UT 84601</t>
  </si>
  <si>
    <t>(801) 377-8002</t>
  </si>
  <si>
    <t>mattstaker@hotmail.com</t>
  </si>
  <si>
    <t>Carriage House Mill, LLC</t>
  </si>
  <si>
    <t>Michael Richards</t>
  </si>
  <si>
    <t>560 South 100 West, #1, Provo, UT 84601</t>
  </si>
  <si>
    <t>mike@chmill.com</t>
  </si>
  <si>
    <t>Carrick Custom Home Design</t>
  </si>
  <si>
    <t>Glade Wall</t>
  </si>
  <si>
    <t>839 N 100 E, Spanish Fork, UT 84660</t>
  </si>
  <si>
    <t>(801) 794-0220</t>
  </si>
  <si>
    <t>admin@carrickhomes.com</t>
  </si>
  <si>
    <t>Carter Construction Homes</t>
  </si>
  <si>
    <t>Dennis B Carter</t>
  </si>
  <si>
    <t>475 W 1400 N, Orem, UT 84057</t>
  </si>
  <si>
    <t>(801) 224-1642</t>
  </si>
  <si>
    <t>donedeal1947@aol.com</t>
  </si>
  <si>
    <t>Castle Rock Interior Solutions LLC</t>
  </si>
  <si>
    <t>Matt Peterson</t>
  </si>
  <si>
    <t>PO Box 700, Orem, UT 84059</t>
  </si>
  <si>
    <t>(801) 224-0602</t>
  </si>
  <si>
    <t>matt@castlerockis.com</t>
  </si>
  <si>
    <t>CB Homes and Renovations LLC</t>
  </si>
  <si>
    <t>Chad Balls</t>
  </si>
  <si>
    <t>1059 S 440 E, Salem, UT 84653</t>
  </si>
  <si>
    <t>(385) 392-6719</t>
  </si>
  <si>
    <t>Chadballs@CBHomesandRenovations.com</t>
  </si>
  <si>
    <t>CBL Landscaping &amp; Lighting</t>
  </si>
  <si>
    <t>Clayton Barnes</t>
  </si>
  <si>
    <t>364 W 600 N, Lindon, UT 84042</t>
  </si>
  <si>
    <t>(801) 960-5996</t>
  </si>
  <si>
    <t>cbllandscaping1@gmail.com</t>
  </si>
  <si>
    <t>CDC Designs</t>
  </si>
  <si>
    <t>Sarah Breen</t>
  </si>
  <si>
    <t>2915 Red Hill Ave, #G201, Costa Mesa, CA 92626</t>
  </si>
  <si>
    <t>(714) 743-3885</t>
  </si>
  <si>
    <t>Sarahb@cdcdesigns.com</t>
  </si>
  <si>
    <t>Cedar Valley Construction</t>
  </si>
  <si>
    <t>Craig Hassell</t>
  </si>
  <si>
    <t>7483 N Point Lookout Rd, Eagle Mountain, UT 84005</t>
  </si>
  <si>
    <t>(801) 367-6710</t>
  </si>
  <si>
    <t>craig@cedarvalleybuilder.com</t>
  </si>
  <si>
    <t>Central Bank</t>
  </si>
  <si>
    <t>Edward Sanches</t>
  </si>
  <si>
    <t>PO Box 1488, 95 N University Ave, Provo UT 84603</t>
  </si>
  <si>
    <t>(801) 655-2117</t>
  </si>
  <si>
    <t>esanches@cbutah.com</t>
  </si>
  <si>
    <t>Century Communities</t>
  </si>
  <si>
    <t>Sam Bennett</t>
  </si>
  <si>
    <t>10644 S Jordan Gateway, #300, South Jordan, UT 84095</t>
  </si>
  <si>
    <t>(702) 730-4376</t>
  </si>
  <si>
    <t>sam.bennett@centurycommunities.com</t>
  </si>
  <si>
    <t>CFC Fences &amp; Decks</t>
  </si>
  <si>
    <t>Cameron Crawford</t>
  </si>
  <si>
    <t>2250 W Center St, Bldg 2, Springville, UT 84663</t>
  </si>
  <si>
    <t>(801) 374-6428</t>
  </si>
  <si>
    <t>AP@fenceanddeckutah.com</t>
  </si>
  <si>
    <t>CHV Construction</t>
  </si>
  <si>
    <t>Clint Hurst</t>
  </si>
  <si>
    <t>135 Mountain Way Dr, Orem, UT 84057</t>
  </si>
  <si>
    <t>(808) 457-0060</t>
  </si>
  <si>
    <t>clint@chvconstruction.com</t>
  </si>
  <si>
    <t>CJ Design Group</t>
  </si>
  <si>
    <t>Chrisi Hammer</t>
  </si>
  <si>
    <t>1134 River Ridge Ln, Orem, UT 84097</t>
  </si>
  <si>
    <t>(801) 310-1745</t>
  </si>
  <si>
    <t>chrisi@cjdesigngroup.com</t>
  </si>
  <si>
    <t>CJC Foundations</t>
  </si>
  <si>
    <t>Randall Jones Sr.</t>
  </si>
  <si>
    <t>1649 N Main, Orem, UT 84057</t>
  </si>
  <si>
    <t>(801) 434-7199</t>
  </si>
  <si>
    <t>cjcfoundations@gmail.com</t>
  </si>
  <si>
    <t>CL Custom Heating And Homes</t>
  </si>
  <si>
    <t>Colbey Luce</t>
  </si>
  <si>
    <t>2499 W 780 S, Lehi, UT 84043</t>
  </si>
  <si>
    <t>(801) 717-7574</t>
  </si>
  <si>
    <t>Clcustomheatingandhomes@gmail.com</t>
  </si>
  <si>
    <t>Classy Closets</t>
  </si>
  <si>
    <t>Emily Wiedrich</t>
  </si>
  <si>
    <t>5585 Wells Park Rd, West Jordan, UT 84081</t>
  </si>
  <si>
    <t>(801) 572-7712</t>
  </si>
  <si>
    <t>emily.wiedrich@classyclosetsut.com</t>
  </si>
  <si>
    <t>Clayco Drywall LLC</t>
  </si>
  <si>
    <t>Amberlie Carter</t>
  </si>
  <si>
    <t>1002 N 1500 W, Orem, UT 84057</t>
  </si>
  <si>
    <t>(801) 420-3990</t>
  </si>
  <si>
    <t>amberlie@clayco-drywall.com</t>
  </si>
  <si>
    <t>Clean and Tidy Utah</t>
  </si>
  <si>
    <t>Karen Schramm</t>
  </si>
  <si>
    <t>751 W 2400 N, Lehi, UT 84043</t>
  </si>
  <si>
    <t>(801) 310-5663</t>
  </si>
  <si>
    <t>Karenschramm2021@gmail.com</t>
  </si>
  <si>
    <t>Clean Cut Drywall</t>
  </si>
  <si>
    <t>J. Scott Greenwalt</t>
  </si>
  <si>
    <t>PO Box 803, Orem, UT 84059</t>
  </si>
  <si>
    <t>(801) 361-7080</t>
  </si>
  <si>
    <t>cleancutdrywall@gmail.com</t>
  </si>
  <si>
    <t>Clear Skies Construction, LLC</t>
  </si>
  <si>
    <t>Carrie Junge</t>
  </si>
  <si>
    <t>4027 E O'Fallons Way, Eagle Mountain, UT 84005</t>
  </si>
  <si>
    <t>(801) 310-8226</t>
  </si>
  <si>
    <t>info@clearskies.construction</t>
  </si>
  <si>
    <t>Clegg Auto</t>
  </si>
  <si>
    <t>Jerry Tebbs</t>
  </si>
  <si>
    <t>668 S 500 E, American Fork, UT 84003</t>
  </si>
  <si>
    <t>(801) 894-9040</t>
  </si>
  <si>
    <t>jerry@cleggauto.com</t>
  </si>
  <si>
    <t>Clive T. Roundy Construction</t>
  </si>
  <si>
    <t>Clive T. Roundy</t>
  </si>
  <si>
    <t>726 N 1890 W, #34, Provo, UT 84601</t>
  </si>
  <si>
    <t>(801) 368-9156</t>
  </si>
  <si>
    <t>roundyconstruction@gmail.com</t>
  </si>
  <si>
    <t>Cloward Custom Homes</t>
  </si>
  <si>
    <t>Cory Cloward</t>
  </si>
  <si>
    <t>389 E 900 S, PO Box 50135, Provo, UT 84605</t>
  </si>
  <si>
    <t>(801) 602-8415</t>
  </si>
  <si>
    <t>cbcconstructionllc1@gmail.com</t>
  </si>
  <si>
    <t>Clydeco Building Supplies</t>
  </si>
  <si>
    <t>Matt Gammell</t>
  </si>
  <si>
    <t>1045 W 1200 N, Mapleton, UT 84664</t>
  </si>
  <si>
    <t>(801) 489-9481</t>
  </si>
  <si>
    <t>matt@clydecorebar.com</t>
  </si>
  <si>
    <t>Cody Olsen Construction</t>
  </si>
  <si>
    <t>Cody Olsen</t>
  </si>
  <si>
    <t>506 N 470 E, Genola, UT 84655</t>
  </si>
  <si>
    <t>codyolsenconstruction@gmail.com</t>
  </si>
  <si>
    <t>CoFi</t>
  </si>
  <si>
    <t>Mike Lacey</t>
  </si>
  <si>
    <t>1172 W 700 N, #100, Lindon, UT 84042</t>
  </si>
  <si>
    <t>(801) 471-1286</t>
  </si>
  <si>
    <t>mike@cofisoftware.com</t>
  </si>
  <si>
    <t>Cole Tanner Real Estate</t>
  </si>
  <si>
    <t>Cole Tanner</t>
  </si>
  <si>
    <t>3400 N Ashton Blvd, #275, Lehi, UT 84043</t>
  </si>
  <si>
    <t>(801) 919-7574</t>
  </si>
  <si>
    <t>cole@easygoingrealtor.com</t>
  </si>
  <si>
    <t>Complete Restoration</t>
  </si>
  <si>
    <t>Lori Hicks</t>
  </si>
  <si>
    <t>1342 W 200 S, Lindon, UT 84042</t>
  </si>
  <si>
    <t>(801) 224-2400</t>
  </si>
  <si>
    <t>lori@completerestoration.com</t>
  </si>
  <si>
    <t>Complete Solar</t>
  </si>
  <si>
    <t>Blake Galley</t>
  </si>
  <si>
    <t>1703 W Man O War Dr, Bluffdale, UT 84065</t>
  </si>
  <si>
    <t>(801) 953-6590</t>
  </si>
  <si>
    <t>bgailey@completesolar.com</t>
  </si>
  <si>
    <t>Conner Construction Company</t>
  </si>
  <si>
    <t>Brennan Conner</t>
  </si>
  <si>
    <t>15 E 200 N, Pleasant Grove, UT 84062</t>
  </si>
  <si>
    <t>(801) 367-1649</t>
  </si>
  <si>
    <t>bc@connerconstructionco.com</t>
  </si>
  <si>
    <t>Construction Experts, LLC</t>
  </si>
  <si>
    <t>Colby Walter</t>
  </si>
  <si>
    <t>1492 Mare Dr, Farmington, UT 84025</t>
  </si>
  <si>
    <t>(208) 293-7575</t>
  </si>
  <si>
    <t>colby@constructionexperts.net</t>
  </si>
  <si>
    <t>Construction Management Pros</t>
  </si>
  <si>
    <t>David Thorne</t>
  </si>
  <si>
    <t>269 S Ravenwood Ln, Saratoga Springs, UT 84045</t>
  </si>
  <si>
    <t>(801) 919-9858</t>
  </si>
  <si>
    <t>Info@thecmpros.com</t>
  </si>
  <si>
    <t>Contract Appliance Sales</t>
  </si>
  <si>
    <t>John Allen</t>
  </si>
  <si>
    <t>401 W 10000 S, South Jordan, UT 84095</t>
  </si>
  <si>
    <t>(801) 600-0800</t>
  </si>
  <si>
    <t>office@contractappliancesales.com</t>
  </si>
  <si>
    <t>Cooper Con LLC</t>
  </si>
  <si>
    <t>Chris Olsen</t>
  </si>
  <si>
    <t>514 E Lakeview Prkwy, Provo, UT 84606</t>
  </si>
  <si>
    <t>(801) 369-7978</t>
  </si>
  <si>
    <t>chris@coopercon.net</t>
  </si>
  <si>
    <t>Copper Valley Electric</t>
  </si>
  <si>
    <t>Brad Phillips</t>
  </si>
  <si>
    <t>PO Box 1108, West Jordan, UT 84084</t>
  </si>
  <si>
    <t>(801) 580-7823</t>
  </si>
  <si>
    <t>brad@coppervalleyutah.com</t>
  </si>
  <si>
    <t>CopperHaus</t>
  </si>
  <si>
    <t>Penny Dille</t>
  </si>
  <si>
    <t>16091 S Coupler Ln, Bluffdale, UT 84065</t>
  </si>
  <si>
    <t>(801) 810-4303</t>
  </si>
  <si>
    <t>martha@copperhausdesign.com</t>
  </si>
  <si>
    <t>Cranked Up Audio Visual</t>
  </si>
  <si>
    <t>Ryan Palmer</t>
  </si>
  <si>
    <t>3298 E Stonebridge Ln, Eagle Mountain, UT 84005</t>
  </si>
  <si>
    <t>(801) 787-9153</t>
  </si>
  <si>
    <t>crankedupav@gmail.com</t>
  </si>
  <si>
    <t>Creative Granite &amp; Designs</t>
  </si>
  <si>
    <t>Amy Spears</t>
  </si>
  <si>
    <t>1998 N Redwood Rd, Salt Lake City, UT 84116</t>
  </si>
  <si>
    <t>(801) 886-0204</t>
  </si>
  <si>
    <t>ricardo@creativegranite.com</t>
  </si>
  <si>
    <t>Crestline Homes</t>
  </si>
  <si>
    <t>Joe Lefgren</t>
  </si>
  <si>
    <t>1056 S Vine St, Mapleton, UT 84664</t>
  </si>
  <si>
    <t>(385) 293-2223</t>
  </si>
  <si>
    <t>joe@crestlinehome.com</t>
  </si>
  <si>
    <t>CrossCountry Mortgage</t>
  </si>
  <si>
    <t>Selueni O'Donnell</t>
  </si>
  <si>
    <t>489 S Jordan Parkway, #320, South Jordan, UT 84095</t>
  </si>
  <si>
    <t>(619) 797-6555</t>
  </si>
  <si>
    <t>sean.odonnell@ccm.com</t>
  </si>
  <si>
    <t>CSA Heating &amp; Air</t>
  </si>
  <si>
    <t>Justin Anderson</t>
  </si>
  <si>
    <t>1460 W Business Park Dr, Orem, UT 84057</t>
  </si>
  <si>
    <t>(385) 270-2328</t>
  </si>
  <si>
    <t>Justin@csaheating.com</t>
  </si>
  <si>
    <t>Cuevas Construction</t>
  </si>
  <si>
    <t>Fredi Cuevas-Castro</t>
  </si>
  <si>
    <t>1390 S Hwy 40, #3, Heber City, UT 84032</t>
  </si>
  <si>
    <t>(385) 888-6282</t>
  </si>
  <si>
    <t>fredicue1412@gmail.com</t>
  </si>
  <si>
    <t>Curated Home &amp; Design</t>
  </si>
  <si>
    <t>Stacey Stone</t>
  </si>
  <si>
    <t>417 W 430 S, Spanish Fork, UT 84660</t>
  </si>
  <si>
    <t>(801) 318-9504</t>
  </si>
  <si>
    <t>stacey@curatedhome.design</t>
  </si>
  <si>
    <t>Curtis Design Group</t>
  </si>
  <si>
    <t>Justin Curtis</t>
  </si>
  <si>
    <t>713 N Main St, Spanish Fork, UT 84660</t>
  </si>
  <si>
    <t>(385) 999-5655</t>
  </si>
  <si>
    <t>shelly@curtisdesigngroup.com</t>
  </si>
  <si>
    <t>Custom Electrical Service, LLC</t>
  </si>
  <si>
    <t>Josh Peterson</t>
  </si>
  <si>
    <t>7710 N 3125 E, Ephraim, UT 84627</t>
  </si>
  <si>
    <t>(435) 283-4975</t>
  </si>
  <si>
    <t>josh@customserves.com</t>
  </si>
  <si>
    <t>Cutting Edge Closets</t>
  </si>
  <si>
    <t>Bill Bernardi</t>
  </si>
  <si>
    <t>1015 S 1680 W, Orem, UT 84059</t>
  </si>
  <si>
    <t>(801) 225-6050</t>
  </si>
  <si>
    <t>bill@ceclosets.com</t>
  </si>
  <si>
    <t>Cutting Edge HVAC LLC</t>
  </si>
  <si>
    <t>Grant Chaisson</t>
  </si>
  <si>
    <t>291 W 2000 N, Orem, UT 84057</t>
  </si>
  <si>
    <t>(801) 874-2127</t>
  </si>
  <si>
    <t>cuttingedgehvacllc@gmail.com</t>
  </si>
  <si>
    <t>D.R. Horton</t>
  </si>
  <si>
    <t>Brad Lambert</t>
  </si>
  <si>
    <t>12351 S Gateway Park Pl, #D-100, Draper, UT 84020</t>
  </si>
  <si>
    <t>(801) 301-8548</t>
  </si>
  <si>
    <t>bblambert@drhorton.com</t>
  </si>
  <si>
    <t>DAI</t>
  </si>
  <si>
    <t>Krisel Travis</t>
  </si>
  <si>
    <t>14034 S 145 E, Vineyard, UT 84059</t>
  </si>
  <si>
    <t>(801) 722-9397</t>
  </si>
  <si>
    <t>krisel@daiutah.com</t>
  </si>
  <si>
    <t>Datwyler Construction</t>
  </si>
  <si>
    <t>Jared Datwyler</t>
  </si>
  <si>
    <t>1441 S Garden View Ct, Saratoga Springs, UT 84045</t>
  </si>
  <si>
    <t>(801) 368-2732</t>
  </si>
  <si>
    <t>jared@datwylerconstruction.com</t>
  </si>
  <si>
    <t>Davies Design Build</t>
  </si>
  <si>
    <t>Edward Axley</t>
  </si>
  <si>
    <t>3400 W Mayflower Dr, #350, Lehi, UT 84043</t>
  </si>
  <si>
    <t>(801) 331-8921</t>
  </si>
  <si>
    <t>ed@daviesdb.com</t>
  </si>
  <si>
    <t>Davis Builders</t>
  </si>
  <si>
    <t>Nate Davis</t>
  </si>
  <si>
    <t>12225 S 5200 W, Payson, UT 84651</t>
  </si>
  <si>
    <t>(801) 807-8483</t>
  </si>
  <si>
    <t>davisbuildersllc@gmail.com</t>
  </si>
  <si>
    <t>DCD Plumbing, Inc.</t>
  </si>
  <si>
    <t>Jared Tanner</t>
  </si>
  <si>
    <t>1023 N 50 W, Orem, UT 84057</t>
  </si>
  <si>
    <t>(801) 420-0156</t>
  </si>
  <si>
    <t>dcdplumbing@msn.com</t>
  </si>
  <si>
    <t>Decorative Landscaping</t>
  </si>
  <si>
    <t>Kyle Nelson</t>
  </si>
  <si>
    <t>1584 S 580 E, American Fork, UT 84003</t>
  </si>
  <si>
    <t>(801) 796-7739</t>
  </si>
  <si>
    <t>kyle@decorativeinc.com</t>
  </si>
  <si>
    <t>Deep Blue Pools &amp; Spas</t>
  </si>
  <si>
    <t>Anthony Findley</t>
  </si>
  <si>
    <t>4153 S Commerce Dr, Salt Lake City, UT 84107</t>
  </si>
  <si>
    <t>(801) 673-4176</t>
  </si>
  <si>
    <t>anthony@deepblueinc.com</t>
  </si>
  <si>
    <t>Dentons Durham Jones Pinegar</t>
  </si>
  <si>
    <t>Brent Bateman</t>
  </si>
  <si>
    <t>3301 N Thanksgiving Way, #400, Lehi, UT 84043</t>
  </si>
  <si>
    <t>(801) 375-6600</t>
  </si>
  <si>
    <t>brent.bateman@dentons.com</t>
  </si>
  <si>
    <t>Derose Plumbing LLC</t>
  </si>
  <si>
    <t>Nate Derose</t>
  </si>
  <si>
    <t>6624 W 9680 N, Highland, UT 84003</t>
  </si>
  <si>
    <t>(801) 580-7473</t>
  </si>
  <si>
    <t>nathanderose@gmail.com</t>
  </si>
  <si>
    <t>Deseret First Credit Union</t>
  </si>
  <si>
    <t>David Niumeitolu</t>
  </si>
  <si>
    <t>337 N State St, Orem, UT 84057</t>
  </si>
  <si>
    <t>(801) 867-8113</t>
  </si>
  <si>
    <t>david.niumeitolu@dfcu.com</t>
  </si>
  <si>
    <t>Desert Mist</t>
  </si>
  <si>
    <t>Boyd A Martin</t>
  </si>
  <si>
    <t>1135 W 1130 N, #3, Saint George, UT 84770</t>
  </si>
  <si>
    <t>(435) 840-2543</t>
  </si>
  <si>
    <t>Desertmisting@gmail.com</t>
  </si>
  <si>
    <t>Desert Pools Construction</t>
  </si>
  <si>
    <t>David Morrey</t>
  </si>
  <si>
    <t>2207 E 840 N, Spanish Fork, UT 84660</t>
  </si>
  <si>
    <t>(801) 472-7445</t>
  </si>
  <si>
    <t>Desertpoolsutah@gmail.com</t>
  </si>
  <si>
    <t>Diamond Property Services LLC</t>
  </si>
  <si>
    <t>Ismael Arias</t>
  </si>
  <si>
    <t>510 Turley Ave, Pleasant Grove, UT 84062</t>
  </si>
  <si>
    <t>(801) 800-7088</t>
  </si>
  <si>
    <t>dpsutah@gmail.com</t>
  </si>
  <si>
    <t>Divfit LLC</t>
  </si>
  <si>
    <t>Stuart Gadd</t>
  </si>
  <si>
    <t>5039 N River Park Wy, Provo, UT 84604</t>
  </si>
  <si>
    <t>(801) 367-8551</t>
  </si>
  <si>
    <t>stu@divfit.com</t>
  </si>
  <si>
    <t>DM Concrete Inc.</t>
  </si>
  <si>
    <t>Dave Meryhew</t>
  </si>
  <si>
    <t>1237 E Crescent Loop, Eagle Mountain, UT 84005</t>
  </si>
  <si>
    <t>(801) 319-6457</t>
  </si>
  <si>
    <t>mollydmconcrete@msn.com</t>
  </si>
  <si>
    <t>Drywall Evolution</t>
  </si>
  <si>
    <t>German Mestas</t>
  </si>
  <si>
    <t>411 E 100 S, Pleasant Grove, UT 84062</t>
  </si>
  <si>
    <t>(385) 384-7492</t>
  </si>
  <si>
    <t>Germanmestas@gmail.com</t>
  </si>
  <si>
    <t>DUV Engineering</t>
  </si>
  <si>
    <t>Dan Urquhart</t>
  </si>
  <si>
    <t>52 W 220 S, Orem, UT 84058</t>
  </si>
  <si>
    <t>(801) 376-9369</t>
  </si>
  <si>
    <t>duvengineering@gmail.com</t>
  </si>
  <si>
    <t>E Builders</t>
  </si>
  <si>
    <t>Ben Winnie</t>
  </si>
  <si>
    <t>3305 W Mayflower Way, #1, Lehi, UT 84043</t>
  </si>
  <si>
    <t>(801) 331-6908</t>
  </si>
  <si>
    <t>office@ebutah.com</t>
  </si>
  <si>
    <t>E-Green Exteriors</t>
  </si>
  <si>
    <t>Scott Anderson</t>
  </si>
  <si>
    <t>1250 E 200 S, #1G, Lehi, UT 84043</t>
  </si>
  <si>
    <t>(801) 494-2450</t>
  </si>
  <si>
    <t>scott@egreenexteriors.com</t>
  </si>
  <si>
    <t>Echols Electric Inc</t>
  </si>
  <si>
    <t>Kim Echols</t>
  </si>
  <si>
    <t>590 E 700 S, Payson, UT 84651</t>
  </si>
  <si>
    <t>(801) 360-2347</t>
  </si>
  <si>
    <t>kechols9@gmail.com</t>
  </si>
  <si>
    <t>Eckles Paving</t>
  </si>
  <si>
    <t>Jake Martinez</t>
  </si>
  <si>
    <t>340 S 1600 W, Mapleton, UT 84664</t>
  </si>
  <si>
    <t>(801) 420-0778</t>
  </si>
  <si>
    <t>jmartinez@ecklespaving.com</t>
  </si>
  <si>
    <t>Eclectic Design Co. LLC</t>
  </si>
  <si>
    <t>Erica LeMaster Sargent</t>
  </si>
  <si>
    <t>1753 S Centennial Blvd, Saratoga Springs, UT 84045</t>
  </si>
  <si>
    <t>(801) 358-4323</t>
  </si>
  <si>
    <t>ericalermastersargentdesigns@gmail.com</t>
  </si>
  <si>
    <t>EcoView Window &amp; Door</t>
  </si>
  <si>
    <t>Tara Saar</t>
  </si>
  <si>
    <t>1464 W 40 S, #300, Lindon, UT 84042</t>
  </si>
  <si>
    <t>(801) 407-9838</t>
  </si>
  <si>
    <t>tsaar@ecoviewwindows.com</t>
  </si>
  <si>
    <t>EDGEHomes</t>
  </si>
  <si>
    <t>Jessica Bryce</t>
  </si>
  <si>
    <t>13702 S 200 W, #B12, Draper, UT 84020</t>
  </si>
  <si>
    <t>(801) 494-0150</t>
  </si>
  <si>
    <t>Information@EDGEhomes.com</t>
  </si>
  <si>
    <t>Edgepoint Landscape</t>
  </si>
  <si>
    <t>Danny Lee</t>
  </si>
  <si>
    <t>1183 S 550 E, Springville, UT 84663</t>
  </si>
  <si>
    <t>(801) 830-1088</t>
  </si>
  <si>
    <t>edgepointlandscape@hotmail.com</t>
  </si>
  <si>
    <t>Element Homes</t>
  </si>
  <si>
    <t>Greg Runge</t>
  </si>
  <si>
    <t>134 W 13100 S, #200, Draper, UT 84020</t>
  </si>
  <si>
    <t>(385) 722-7171</t>
  </si>
  <si>
    <t>gregr@inyourelement.com</t>
  </si>
  <si>
    <t>Elevated Pines</t>
  </si>
  <si>
    <t>Trevor Lott</t>
  </si>
  <si>
    <t>4142 W Cedar Hills Drive, Pleasant Grove, UT 84062</t>
  </si>
  <si>
    <t>(385) 985-4462</t>
  </si>
  <si>
    <t>elevatedpinesllc@gmail.com</t>
  </si>
  <si>
    <t>Elevated Waste Solutions</t>
  </si>
  <si>
    <t>Eric Bengel</t>
  </si>
  <si>
    <t>212 E Crossroads Blvd, #424, Saratoga Springs, UT 84045</t>
  </si>
  <si>
    <t>(801) 372-0039</t>
  </si>
  <si>
    <t>elevatedwastesolutions@gmail.com</t>
  </si>
  <si>
    <t>Elevation Construction LLC</t>
  </si>
  <si>
    <t>McCord Parry</t>
  </si>
  <si>
    <t>8371 State St, #204, Sandy, UT 84070</t>
  </si>
  <si>
    <t>(801) 999-4812</t>
  </si>
  <si>
    <t>accounting@elevationutah.com</t>
  </si>
  <si>
    <t>Elite Energy Solutions</t>
  </si>
  <si>
    <t>Chet Stevens</t>
  </si>
  <si>
    <t>162 S 1900 W, #100, Lindon, UT 84042</t>
  </si>
  <si>
    <t>(801) 610-9779</t>
  </si>
  <si>
    <t>cstevens@elitees.net</t>
  </si>
  <si>
    <t>Empire Systems</t>
  </si>
  <si>
    <t>Challise Harvey</t>
  </si>
  <si>
    <t>11538 S State St, Draper, UT 84020</t>
  </si>
  <si>
    <t>(801) 849-9868</t>
  </si>
  <si>
    <t>challise@lightingdesign.com</t>
  </si>
  <si>
    <t>Empresa Floors</t>
  </si>
  <si>
    <t>Marvin Calderon</t>
  </si>
  <si>
    <t>2412 N Redwood Rd, Saratoga Springs, UT 84045</t>
  </si>
  <si>
    <t>(385) 323-5555</t>
  </si>
  <si>
    <t>marvin@empresafloors.com</t>
  </si>
  <si>
    <t>Enbridge Gas</t>
  </si>
  <si>
    <t>Brian Camp</t>
  </si>
  <si>
    <t>333 S State St, Salt Lake City, UT 84145</t>
  </si>
  <si>
    <t>(801) 324-5118</t>
  </si>
  <si>
    <t>brian.camp@dominionenergy.com</t>
  </si>
  <si>
    <t>Energy Rated Homes of Utah</t>
  </si>
  <si>
    <t>Taylor Hansen</t>
  </si>
  <si>
    <t>112 S Mountain Way Dr, Orem, UT 84058</t>
  </si>
  <si>
    <t>(801) 765-0034</t>
  </si>
  <si>
    <t>krystal@utahenergy.org</t>
  </si>
  <si>
    <t>Epic Landscapes and Maintenance, LLC</t>
  </si>
  <si>
    <t>Nic Roach</t>
  </si>
  <si>
    <t>PO Box 142, Spanish Fork, UT 84660</t>
  </si>
  <si>
    <t>(801) 592-7746</t>
  </si>
  <si>
    <t>nic.epiclandscapes@gmail.com</t>
  </si>
  <si>
    <t>ERA Brokers Consolidated</t>
  </si>
  <si>
    <t>Diane Jensen</t>
  </si>
  <si>
    <t>2901 N Ashton Blvd, #102, Lehi, UT 84043</t>
  </si>
  <si>
    <t>(801) 341-0909</t>
  </si>
  <si>
    <t>djensen@erabrokers.com</t>
  </si>
  <si>
    <t>Eric S. Budge Construction, Inc.</t>
  </si>
  <si>
    <t>Eric Budge</t>
  </si>
  <si>
    <t>6625 W 9720 N, Highland, UT 84003</t>
  </si>
  <si>
    <t>(801) 636-3174</t>
  </si>
  <si>
    <t>esbudge@gmail.com</t>
  </si>
  <si>
    <t>Escential Co.</t>
  </si>
  <si>
    <t>Liz Thompson</t>
  </si>
  <si>
    <t>1588 N Yorkshire Ln, Lehi, UT 84043</t>
  </si>
  <si>
    <t>(801) 349-5000</t>
  </si>
  <si>
    <t>liz@escentialco.com</t>
  </si>
  <si>
    <t>ESTAIT Construction, LLC</t>
  </si>
  <si>
    <t>Jeff Tait</t>
  </si>
  <si>
    <t>512 N 1450 W, Lehi, UT 84043</t>
  </si>
  <si>
    <t>(801) 718-4948</t>
  </si>
  <si>
    <t>jeff@estaitconstruction.com</t>
  </si>
  <si>
    <t>Everlast Surrounds &amp; Glass</t>
  </si>
  <si>
    <t>Jason Gruber</t>
  </si>
  <si>
    <t>395 N 2000 W, #1, Springville, UT 84663</t>
  </si>
  <si>
    <t>(801) 636-1197</t>
  </si>
  <si>
    <t>info@everlastutah.com</t>
  </si>
  <si>
    <t>Everlights</t>
  </si>
  <si>
    <t>Darren Taylor</t>
  </si>
  <si>
    <t>1971 700 N, #202, Lindon, UT 84042</t>
  </si>
  <si>
    <t>(385) 233-0220</t>
  </si>
  <si>
    <t>darren@myeverlights.com</t>
  </si>
  <si>
    <t>Evolution Flooring Inc.</t>
  </si>
  <si>
    <t>Matthew Robinett</t>
  </si>
  <si>
    <t>7338 S 5680 W, West Jordan, UT 84081</t>
  </si>
  <si>
    <t>(801) 999-8059</t>
  </si>
  <si>
    <t>Evolutionflooringinc@icloud.com</t>
  </si>
  <si>
    <t>Evolve Building and Development</t>
  </si>
  <si>
    <t>Collin Brinkerhoff</t>
  </si>
  <si>
    <t>79 W 900 N, #C, Springville, UT 84660</t>
  </si>
  <si>
    <t>(801) 380-8995</t>
  </si>
  <si>
    <t>collin@evolveut.com</t>
  </si>
  <si>
    <t>Excavator Guy</t>
  </si>
  <si>
    <t>Christian Weibell</t>
  </si>
  <si>
    <t>336 E University Pkwy, #1172, Orem, UT 84058</t>
  </si>
  <si>
    <t>(801) 796-2287</t>
  </si>
  <si>
    <t>faster@excavatorguy.com</t>
  </si>
  <si>
    <t>Excel Cabinets</t>
  </si>
  <si>
    <t>Chris Black</t>
  </si>
  <si>
    <t>900 W 2950 S, South Salt Lake, UT 84119</t>
  </si>
  <si>
    <t>(801) 463-3600</t>
  </si>
  <si>
    <t>chris@excelcabinets.com</t>
  </si>
  <si>
    <t>Excel Concrete Incorporated</t>
  </si>
  <si>
    <t>Diane Smith</t>
  </si>
  <si>
    <t>1761 E Hidden Hills Rd, Eagle Mountain, UT 84005</t>
  </si>
  <si>
    <t>(801) 420-1854</t>
  </si>
  <si>
    <t>fatcatway@yahoo.com</t>
  </si>
  <si>
    <t>Excel Heating &amp; Air Conditioning Service</t>
  </si>
  <si>
    <t>Kelly Stanworth</t>
  </si>
  <si>
    <t>1112 E 1060 N, Spanish Fork, UT 84660</t>
  </si>
  <si>
    <t>(801) 423-1384</t>
  </si>
  <si>
    <t>excelheatandair@msn.com</t>
  </si>
  <si>
    <t>Excell Steel Fabrication</t>
  </si>
  <si>
    <t>Curtis Pond</t>
  </si>
  <si>
    <t>122 N Draper Ln, Provo, UT 84601</t>
  </si>
  <si>
    <t>(801) 616-9456</t>
  </si>
  <si>
    <t>accounting@excellsteelfab.com</t>
  </si>
  <si>
    <t>Exclusive Air Systems, Inc</t>
  </si>
  <si>
    <t>Tony Nielsen</t>
  </si>
  <si>
    <t>12608 S 125 W, #A, Draper, UT 84020</t>
  </si>
  <si>
    <t>(801) 232-4342</t>
  </si>
  <si>
    <t>tony@exclusiveairsystems.com</t>
  </si>
  <si>
    <t>Ezra Lee Design + Build</t>
  </si>
  <si>
    <t>Ezra Lee</t>
  </si>
  <si>
    <t>363 S Main St, #100, Alpine, UT 84004</t>
  </si>
  <si>
    <t>(801) 318-9611</t>
  </si>
  <si>
    <t>ezra@ezralee.com</t>
  </si>
  <si>
    <t>Fashion Windows LLC</t>
  </si>
  <si>
    <t>Julia Shields</t>
  </si>
  <si>
    <t>PO Box 256, Stockton, UT 84071</t>
  </si>
  <si>
    <t>(435) 882-8979</t>
  </si>
  <si>
    <t>julia@fashionwindowsllc.com</t>
  </si>
  <si>
    <t>FastenMaster</t>
  </si>
  <si>
    <t>Kyle Gorrell</t>
  </si>
  <si>
    <t>153 Bowles Rd, Agawam, MA 1001</t>
  </si>
  <si>
    <t>(800) 518-3569</t>
  </si>
  <si>
    <t>info@fastenmaster.com</t>
  </si>
  <si>
    <t>FAUS Glass</t>
  </si>
  <si>
    <t>Alex Fawcett</t>
  </si>
  <si>
    <t>62 E Granite Ave, South Salt Lake, UT 84115</t>
  </si>
  <si>
    <t>(435) 817-6172</t>
  </si>
  <si>
    <t>fawcett_alex@fausglass.com</t>
  </si>
  <si>
    <t>FBC Roofing</t>
  </si>
  <si>
    <t>Adam Fullmer</t>
  </si>
  <si>
    <t>3300 N Running Creek Way, Bldg G, #200, Lehi, UT 84043</t>
  </si>
  <si>
    <t>(801) 810-8322</t>
  </si>
  <si>
    <t>adam.fullmer@fbcroofing.com</t>
  </si>
  <si>
    <t>Ferguson Bath, Kitchen &amp; Lighting Gallery</t>
  </si>
  <si>
    <t>Sara McDaniel</t>
  </si>
  <si>
    <t>2565 S 300 W, Salt Lake City, UT 84115</t>
  </si>
  <si>
    <t>(801) 463-8340</t>
  </si>
  <si>
    <t>sasah.araiza@ferguson.com</t>
  </si>
  <si>
    <t>Ferguson Pros</t>
  </si>
  <si>
    <t>Cory Ferguson</t>
  </si>
  <si>
    <t>307 S 2070 E, Spanish Fork, UT 84660</t>
  </si>
  <si>
    <t>(801) 691-2660</t>
  </si>
  <si>
    <t>cory@fergusonprosllc.com</t>
  </si>
  <si>
    <t>Ferran Building Systems, Inc.</t>
  </si>
  <si>
    <t>Jason Ferran</t>
  </si>
  <si>
    <t>211 W Hidden Creek Dr, Lehi, UT 84043</t>
  </si>
  <si>
    <t>(801) 367-1557</t>
  </si>
  <si>
    <t>jferran2000@yahoo.com</t>
  </si>
  <si>
    <t>Fieldstone Homes</t>
  </si>
  <si>
    <t>Randy Smith</t>
  </si>
  <si>
    <t>12896 Pony Express Rd, #400, Draper, UT 84020</t>
  </si>
  <si>
    <t>(801) 233-8300</t>
  </si>
  <si>
    <t>troyg@fieldstone-homes.com</t>
  </si>
  <si>
    <t>Finely Finished Interiors</t>
  </si>
  <si>
    <t>Mike Jensen</t>
  </si>
  <si>
    <t>705 E 200 S, Salem, UT 84663</t>
  </si>
  <si>
    <t>(801) 687-7354</t>
  </si>
  <si>
    <t>Mikejensen3690@gmail.com</t>
  </si>
  <si>
    <t>Fireside Homes</t>
  </si>
  <si>
    <t>Sandy Larsen</t>
  </si>
  <si>
    <t>6298 W 10220 N, Highland, UT 84003</t>
  </si>
  <si>
    <t>(801) 787-3003</t>
  </si>
  <si>
    <t>firesidehomes@gmail.com</t>
  </si>
  <si>
    <t>First American Title</t>
  </si>
  <si>
    <t>Troy Felt</t>
  </si>
  <si>
    <t>578 S State St, Orem, UT 84058</t>
  </si>
  <si>
    <t>(801) 224-8676</t>
  </si>
  <si>
    <t>tfelt@firstam.com</t>
  </si>
  <si>
    <t>Five Star Building Products, LLC</t>
  </si>
  <si>
    <t>Russ Colaizzi</t>
  </si>
  <si>
    <t>1663 N 980 W, Orem, UT 84057</t>
  </si>
  <si>
    <t>(801) 231-5562</t>
  </si>
  <si>
    <t>russ@pbs3.com</t>
  </si>
  <si>
    <t>FJP Supply</t>
  </si>
  <si>
    <t>Ashley Black</t>
  </si>
  <si>
    <t>8046 S 1460 W, West Jordan, UT 84088</t>
  </si>
  <si>
    <t>(801) 561-3108</t>
  </si>
  <si>
    <t>ashley@fjpsupply.com</t>
  </si>
  <si>
    <t>Flagship Homes</t>
  </si>
  <si>
    <t>Matt Rasband</t>
  </si>
  <si>
    <t>300 S 1350 E, 2nd Floor, Lehi, UT 84043</t>
  </si>
  <si>
    <t>(801) 766-4442</t>
  </si>
  <si>
    <t>matt@flagshiphomes.com</t>
  </si>
  <si>
    <t>Floor &amp; Decor</t>
  </si>
  <si>
    <t>Tyler Jorgensen</t>
  </si>
  <si>
    <t>12101 S State St, #100, Draper, UT 84020</t>
  </si>
  <si>
    <t>(801) 981-1792</t>
  </si>
  <si>
    <t>tyler.jorgensen@flooranddecor.com</t>
  </si>
  <si>
    <t>Flooring Solutions</t>
  </si>
  <si>
    <t>Karen Thompson</t>
  </si>
  <si>
    <t>957 W 150 N, #C, Lindon, UT 84042</t>
  </si>
  <si>
    <t>(801) 899-2233</t>
  </si>
  <si>
    <t>kgjhthompson@gmail.com</t>
  </si>
  <si>
    <t>FOCUS Engineering &amp; Surveying</t>
  </si>
  <si>
    <t>Bryce Benson</t>
  </si>
  <si>
    <t>6949 S High Tech Dr, #200, Midvale, UT 84047</t>
  </si>
  <si>
    <t>(801) 352-0075</t>
  </si>
  <si>
    <t>marketing@focusutah.com</t>
  </si>
  <si>
    <t>Forum Builders</t>
  </si>
  <si>
    <t>Levi Gifford</t>
  </si>
  <si>
    <t>998 N 1200 W, #100, Orem, UT 84057</t>
  </si>
  <si>
    <t>(801) 472-7925</t>
  </si>
  <si>
    <t>levi@buildwithforum.com</t>
  </si>
  <si>
    <t>Founding Stone</t>
  </si>
  <si>
    <t>Aaron Miller</t>
  </si>
  <si>
    <t>673 Stonebrook Ln, Santaquin, UT 84655</t>
  </si>
  <si>
    <t>(801) 336-7166</t>
  </si>
  <si>
    <t>aaron@foundingstoneutah.com</t>
  </si>
  <si>
    <t>Four Chairs Furniture</t>
  </si>
  <si>
    <t>Lindy Allen</t>
  </si>
  <si>
    <t>150 S State St, Lindon, UT 84042</t>
  </si>
  <si>
    <t>(801) 796-3400</t>
  </si>
  <si>
    <t>Info@4-chairs.com</t>
  </si>
  <si>
    <t>Fox Builders &amp; General Construction Inc.</t>
  </si>
  <si>
    <t>Jason Fox</t>
  </si>
  <si>
    <t>312 E 1700 N, Pleasant Grove, UT 84062</t>
  </si>
  <si>
    <t>(435) 229-8530</t>
  </si>
  <si>
    <t>Foxbuilders1997@gmail.com</t>
  </si>
  <si>
    <t>Fox Concrete</t>
  </si>
  <si>
    <t>Brian Fox</t>
  </si>
  <si>
    <t>3052 N Snow Pkwy, #201, St George, UT 84770</t>
  </si>
  <si>
    <t>(801) 717-7072</t>
  </si>
  <si>
    <t>mudmanfox@gmail.com</t>
  </si>
  <si>
    <t>FRDM Turf</t>
  </si>
  <si>
    <t>Steve Thomas</t>
  </si>
  <si>
    <t>589 W 9400 S, Sandy, UT 84070</t>
  </si>
  <si>
    <t>(801) 214-1640</t>
  </si>
  <si>
    <t>info@frdmturf.com</t>
  </si>
  <si>
    <t>Franco Family Tire Pros</t>
  </si>
  <si>
    <t>Franco Pina Distefano</t>
  </si>
  <si>
    <t>95 W Main St, American Fork, UT 84003</t>
  </si>
  <si>
    <t>(801) 657-7658</t>
  </si>
  <si>
    <t>francopg35x@gmail.com</t>
  </si>
  <si>
    <t>Frederico Landscape Management</t>
  </si>
  <si>
    <t>Adam Frederico</t>
  </si>
  <si>
    <t>1333 S Valley Grove Wy, #285, Pleasant Grove, UT 84062</t>
  </si>
  <si>
    <t>(801) 226-8100</t>
  </si>
  <si>
    <t>adam@fredericooutdoor.com</t>
  </si>
  <si>
    <t>Freeway Propane/Fencing</t>
  </si>
  <si>
    <t>Deborah Houtz</t>
  </si>
  <si>
    <t>PO Box 804, Spanish Fork, UT 84660</t>
  </si>
  <si>
    <t>(801) 798-3943</t>
  </si>
  <si>
    <t>dhoutz@freewaypropane.com</t>
  </si>
  <si>
    <t>Fuller Center for Housing of Utah County</t>
  </si>
  <si>
    <t>Brian Zilich</t>
  </si>
  <si>
    <t>3082 W Maple Loop Drive, #200, Lehi, UT 84043</t>
  </si>
  <si>
    <t>(801) 921-5335</t>
  </si>
  <si>
    <t>contact@fullercenterutahcounty.org</t>
  </si>
  <si>
    <t>GateHouse No.1, Furniture &amp; Design</t>
  </si>
  <si>
    <t>Stephanie Holdaway</t>
  </si>
  <si>
    <t>672 S State St, Orem, UT 84058</t>
  </si>
  <si>
    <t>(801) 225-9505</t>
  </si>
  <si>
    <t>steph@gatehousestyle.com</t>
  </si>
  <si>
    <t>General Construction &amp; Development</t>
  </si>
  <si>
    <t>Mike Stewart</t>
  </si>
  <si>
    <t>3214 N University Ave, #605, Provo, UT 84604</t>
  </si>
  <si>
    <t>(801) 434-8390</t>
  </si>
  <si>
    <t>godincbilling@gmail.com</t>
  </si>
  <si>
    <t>Geneva Rock</t>
  </si>
  <si>
    <t>Rex Measom</t>
  </si>
  <si>
    <t>1565 W 40 N, Orem, UT 84057</t>
  </si>
  <si>
    <t>(801) 765-7863</t>
  </si>
  <si>
    <t>rmeasom@genevarock.com</t>
  </si>
  <si>
    <t>Georgetown Development</t>
  </si>
  <si>
    <t>Brandon Mills</t>
  </si>
  <si>
    <t>2230 N University Pkwy, #7G, Provo, UT 84604</t>
  </si>
  <si>
    <t>(801) 374-0772</t>
  </si>
  <si>
    <t>brandon@georgetowndevelopment.com</t>
  </si>
  <si>
    <t>Glass Images &amp; Creations</t>
  </si>
  <si>
    <t>David O Lynn</t>
  </si>
  <si>
    <t>1804 S Columbia Ln, Orem, UT 84097</t>
  </si>
  <si>
    <t>(801) 225-4009</t>
  </si>
  <si>
    <t>dave@glassimages.com</t>
  </si>
  <si>
    <t>Glassology</t>
  </si>
  <si>
    <t>Benson Cluff</t>
  </si>
  <si>
    <t>6057 W 9740 N, Highland, UT 84003</t>
  </si>
  <si>
    <t>(385) 333-2322</t>
  </si>
  <si>
    <t>info@glassology.co</t>
  </si>
  <si>
    <t>Glen Ricks Photography Inc.</t>
  </si>
  <si>
    <t>Glen Ricks</t>
  </si>
  <si>
    <t>529 W 100 S, Lindon, UT 84042</t>
  </si>
  <si>
    <t>(801) 756-8824</t>
  </si>
  <si>
    <t>glen@glenricksphotography.com</t>
  </si>
  <si>
    <t>Global Stone and Tile</t>
  </si>
  <si>
    <t>Heidi Richardson</t>
  </si>
  <si>
    <t>425 E 1600 N, #2, Vineyard, UT 84059</t>
  </si>
  <si>
    <t>(801) 437-3811</t>
  </si>
  <si>
    <t>heidi@globalstoneandtile.com</t>
  </si>
  <si>
    <t>GoliathTech Utah</t>
  </si>
  <si>
    <t>Darci Mock</t>
  </si>
  <si>
    <t>3400 N 1000 W, Ogden, UT 84414</t>
  </si>
  <si>
    <t>(801) 839-5283</t>
  </si>
  <si>
    <t>darci@gtut.com</t>
  </si>
  <si>
    <t>Goodland Construction, LLC</t>
  </si>
  <si>
    <t>Matthew Stoner</t>
  </si>
  <si>
    <t>127 N 800 W, Provo, UT 84601</t>
  </si>
  <si>
    <t>(801) 215-9219</t>
  </si>
  <si>
    <t>kyra@goodlandutah.com</t>
  </si>
  <si>
    <t>Graebridge Stone</t>
  </si>
  <si>
    <t>Ned Knaphus</t>
  </si>
  <si>
    <t>15 S 1400 W, Lindon, UT 84042</t>
  </si>
  <si>
    <t>(801) 301-8981</t>
  </si>
  <si>
    <t>ned.graebridgestone@gmail.com</t>
  </si>
  <si>
    <t>Great Western Inc</t>
  </si>
  <si>
    <t>357 W Ruger Dr, Saratoga Springs, UT 84045</t>
  </si>
  <si>
    <t>(701) 609-6708</t>
  </si>
  <si>
    <t>greatwestern.smith@gmail.com</t>
  </si>
  <si>
    <t>Green Tech Construction, LLC</t>
  </si>
  <si>
    <t>Kurt Antonino</t>
  </si>
  <si>
    <t>(801) 420-2929</t>
  </si>
  <si>
    <t>kurt@green-techconstruction.com</t>
  </si>
  <si>
    <t>Green Forest Landscaping</t>
  </si>
  <si>
    <t>Jose Arias</t>
  </si>
  <si>
    <t>9193 S 4800 W, Payson, UT 84651</t>
  </si>
  <si>
    <t>(801) 404-7176</t>
  </si>
  <si>
    <t>greenforestjose@gmail.com</t>
  </si>
  <si>
    <t>Greenline Home Solutions</t>
  </si>
  <si>
    <t>Luke Whatcott</t>
  </si>
  <si>
    <t>550 W State St, #4, Lehi, UT 84043</t>
  </si>
  <si>
    <t>(801) 344-6691</t>
  </si>
  <si>
    <t>luke@greenlineprotect.com</t>
  </si>
  <si>
    <t>GRIT Courts</t>
  </si>
  <si>
    <t>Grant Tingey</t>
  </si>
  <si>
    <t>1731 N 500 E, Provo, UT 84604</t>
  </si>
  <si>
    <t>(801) 899-9787</t>
  </si>
  <si>
    <t>grant@builtwithgrit.com</t>
  </si>
  <si>
    <t>H&amp;H Steel Fabrication</t>
  </si>
  <si>
    <t>Justin Henrie</t>
  </si>
  <si>
    <t>1861 W Alvey Dr, #3, Mapleton, UT 84664</t>
  </si>
  <si>
    <t>(801) 360-9180</t>
  </si>
  <si>
    <t>hhsteelfab@hotmail.com</t>
  </si>
  <si>
    <t>Habitat for Humanity of UT County</t>
  </si>
  <si>
    <t>Alan Hill</t>
  </si>
  <si>
    <t>340 S Orem Blvd, Orem, UT 84058</t>
  </si>
  <si>
    <t>(801) 344-8527</t>
  </si>
  <si>
    <t>alan@habitatuc.org</t>
  </si>
  <si>
    <t>Habitations Residential Design Group</t>
  </si>
  <si>
    <t>Joe Sadler</t>
  </si>
  <si>
    <t>1523 E Skyline Dr, iiB, Ogden, UT 84405</t>
  </si>
  <si>
    <t>(801) 476-1860</t>
  </si>
  <si>
    <t>office@habitationsrdg.com</t>
  </si>
  <si>
    <t>Hacking Construction, Inc.</t>
  </si>
  <si>
    <t>Bill M. Fairbanks</t>
  </si>
  <si>
    <t>PO Box 1239, Orem, UT 84059</t>
  </si>
  <si>
    <t>hackingconstruction@gmail.com</t>
  </si>
  <si>
    <t>Hales Built Construction</t>
  </si>
  <si>
    <t>Brad Hales</t>
  </si>
  <si>
    <t>PO Box 356, Salem, UT 84653</t>
  </si>
  <si>
    <t>(801) 380-9326</t>
  </si>
  <si>
    <t>brad@halesbuilt.com</t>
  </si>
  <si>
    <t>Halifax Flooring</t>
  </si>
  <si>
    <t>Ben Hakes</t>
  </si>
  <si>
    <t>28 N 1330 W, Orem, UT 84057</t>
  </si>
  <si>
    <t>(801) 802-7277</t>
  </si>
  <si>
    <t>ben@halifaxflooring.com</t>
  </si>
  <si>
    <t>Hamilton Park Interiors</t>
  </si>
  <si>
    <t>Heather Hansen</t>
  </si>
  <si>
    <t>174 E Winchester St, Salt Lake City, UT 84107</t>
  </si>
  <si>
    <t>(801) 829-3444</t>
  </si>
  <si>
    <t>bhicks@hamiltonparkut.com</t>
  </si>
  <si>
    <t>Hamlet Homes</t>
  </si>
  <si>
    <t>Tami Ostmark</t>
  </si>
  <si>
    <t>84 W 4800 S, #200, Murray, UT 84081</t>
  </si>
  <si>
    <t>(801) 842-5360</t>
  </si>
  <si>
    <t>tostmark@hamlethomes.com</t>
  </si>
  <si>
    <t>HandyPRO</t>
  </si>
  <si>
    <t>Cody Beaudoin</t>
  </si>
  <si>
    <t>1087 S 900 E, Salem, UT 84653</t>
  </si>
  <si>
    <t>(801) 704-9206</t>
  </si>
  <si>
    <t>Handyprollcutah@gmail.com</t>
  </si>
  <si>
    <t>Hansen Design Firm</t>
  </si>
  <si>
    <t>1571 Box Elder Cir, Alpine, UT 84004</t>
  </si>
  <si>
    <t>(925) 337-5991</t>
  </si>
  <si>
    <t>heather@hansendesignfirm.com</t>
  </si>
  <si>
    <t>Hansen Lighting</t>
  </si>
  <si>
    <t>Jarin Broadbent</t>
  </si>
  <si>
    <t>922 N 1430 W, Orem, UT 84057</t>
  </si>
  <si>
    <t>(801) 225-4459</t>
  </si>
  <si>
    <t>jarin@hansenlighting.com</t>
  </si>
  <si>
    <t>Hansen Renovations</t>
  </si>
  <si>
    <t>Steven Hansen</t>
  </si>
  <si>
    <t>2701 N 700 E, Provo, UT 84604</t>
  </si>
  <si>
    <t>(801) 589-6568</t>
  </si>
  <si>
    <t>shansen66@gmail.com</t>
  </si>
  <si>
    <t>Happy Valley Exteriors</t>
  </si>
  <si>
    <t>Ammon Orchard</t>
  </si>
  <si>
    <t>413 E 620 S, #3, American Fork, UT 84003</t>
  </si>
  <si>
    <t>(385) 293-3223</t>
  </si>
  <si>
    <t>ammon@happyvalleycoatings.com</t>
  </si>
  <si>
    <t>Harley Construction</t>
  </si>
  <si>
    <t>Dallin Harley</t>
  </si>
  <si>
    <t>PO Box 572, American Fork, UT 84003</t>
  </si>
  <si>
    <t>(801) 787-1130</t>
  </si>
  <si>
    <t>build.harleyconstruction@gmail.com</t>
  </si>
  <si>
    <t>Harmony Audio</t>
  </si>
  <si>
    <t>Colton Allred</t>
  </si>
  <si>
    <t>4081 E Dillons Dr, Eagle Mountain, UT 84005</t>
  </si>
  <si>
    <t>(801) 610-9441</t>
  </si>
  <si>
    <t>sales@harmonyaudio.us</t>
  </si>
  <si>
    <t>Harper &amp; Company, Inc.</t>
  </si>
  <si>
    <t>Matthew Harper</t>
  </si>
  <si>
    <t>359 N 200 E, American Fork, UT 84003</t>
  </si>
  <si>
    <t>(801) 472-1211</t>
  </si>
  <si>
    <t>harperandco@gmail.com</t>
  </si>
  <si>
    <t>Harper Companies</t>
  </si>
  <si>
    <t>Mike Seegmiller</t>
  </si>
  <si>
    <t>PO Box 18549, Kearns, UT 84118</t>
  </si>
  <si>
    <t>(801) 326-1016</t>
  </si>
  <si>
    <t>mike@harpercompaniesinc.com</t>
  </si>
  <si>
    <t>Harris Architecture</t>
  </si>
  <si>
    <t>Brett Harris</t>
  </si>
  <si>
    <t>920 E 800 N, #201, Orem, UT 84097</t>
  </si>
  <si>
    <t>(801) 377-6303</t>
  </si>
  <si>
    <t>brett@harris-architecture.com</t>
  </si>
  <si>
    <t>Harristone</t>
  </si>
  <si>
    <t>Drew George</t>
  </si>
  <si>
    <t>2810 Pennsylvania Ave, Ogden, UT 84401</t>
  </si>
  <si>
    <t>(801) 621-1380</t>
  </si>
  <si>
    <t>drew@harristone.com</t>
  </si>
  <si>
    <t>Hastings Concrete</t>
  </si>
  <si>
    <t>Chevy Hastings</t>
  </si>
  <si>
    <t>3463 E River Bottoms Rd, Spanish Fork, UT 84660</t>
  </si>
  <si>
    <t>(801) 800-9404</t>
  </si>
  <si>
    <t>chevyhastings@gmail.com</t>
  </si>
  <si>
    <t>Hatfield Homes</t>
  </si>
  <si>
    <t>Morgan Hatfield</t>
  </si>
  <si>
    <t>117 S 140 W, Lindon, UT 84042</t>
  </si>
  <si>
    <t>(801) 836-0253</t>
  </si>
  <si>
    <t>morganehatfield@gmail.com</t>
  </si>
  <si>
    <t>Hawthorn Homes</t>
  </si>
  <si>
    <t>Michael Muehlmann</t>
  </si>
  <si>
    <t>3934 W 1750 N, Lehi, UT 84043</t>
  </si>
  <si>
    <t>(801) 618-8057</t>
  </si>
  <si>
    <t>mike@hawthornhomes.com</t>
  </si>
  <si>
    <t>Hearth and Home</t>
  </si>
  <si>
    <t>Kyle Tuckett</t>
  </si>
  <si>
    <t>1678 N State St, Orem, UT 84057</t>
  </si>
  <si>
    <t>(801) 224-5550</t>
  </si>
  <si>
    <t>kyle@hhdu.com</t>
  </si>
  <si>
    <t>Hebdon Studios</t>
  </si>
  <si>
    <t>Brian Hebdon</t>
  </si>
  <si>
    <t>740 E 3900 S, SLC, UT 84107</t>
  </si>
  <si>
    <t>(801) 618-6719</t>
  </si>
  <si>
    <t>brian@hebdonstudios.com</t>
  </si>
  <si>
    <t>Hiatt Landscapes</t>
  </si>
  <si>
    <t>Robert Hiatt</t>
  </si>
  <si>
    <t>7731 Decrescendo Dr, Eagle Mountain, UT 84005</t>
  </si>
  <si>
    <t>(801) 472-3939</t>
  </si>
  <si>
    <t>hiattrob@gmail.com</t>
  </si>
  <si>
    <t>High Country Construction</t>
  </si>
  <si>
    <t>Ben Ercanbrack</t>
  </si>
  <si>
    <t>PO Box 536, Orem, UT 84059</t>
  </si>
  <si>
    <t>(801) 319-3205</t>
  </si>
  <si>
    <t>benhcc2011@gmail.com</t>
  </si>
  <si>
    <t>Highland Custom Homes</t>
  </si>
  <si>
    <t>Matt Yeates</t>
  </si>
  <si>
    <t>1635 W Redstone Center Dr, #130, Park City, UT 84098</t>
  </si>
  <si>
    <t>(801) 671-3229</t>
  </si>
  <si>
    <t>matt@highlandhomesutah.com</t>
  </si>
  <si>
    <t>Hillcreek Homes</t>
  </si>
  <si>
    <t>Christian Burrup</t>
  </si>
  <si>
    <t>2439 E Ox Yoke Dr, Eagle Mountain, UT 84005</t>
  </si>
  <si>
    <t>(509) 302-3819</t>
  </si>
  <si>
    <t>christian@hillcreekhomes.com</t>
  </si>
  <si>
    <t>Hillcrest Bank</t>
  </si>
  <si>
    <t>Gregg Taylor</t>
  </si>
  <si>
    <t>215 W 2230 N, Provo, UT 84604</t>
  </si>
  <si>
    <t>(801) 426-0165</t>
  </si>
  <si>
    <t>gregg.taylor@hillcrestbank.com</t>
  </si>
  <si>
    <t>Hite Electric LLC</t>
  </si>
  <si>
    <t>Ryan Glover</t>
  </si>
  <si>
    <t>277 N 2340 W, Lehi, UT 84043</t>
  </si>
  <si>
    <t>(801) 634-7255</t>
  </si>
  <si>
    <t>Ryan@hiteelectricco.com</t>
  </si>
  <si>
    <t>Hive Remodeling</t>
  </si>
  <si>
    <t>Spencer Shemwell</t>
  </si>
  <si>
    <t>1367 N 1250 E, Lehi, UT 84043</t>
  </si>
  <si>
    <t>(703) 717-3776</t>
  </si>
  <si>
    <t>spencer@hiveremodeling.com</t>
  </si>
  <si>
    <t>HNL Construction</t>
  </si>
  <si>
    <t>Nate Livingston</t>
  </si>
  <si>
    <t>175 W 800 S, Orem, UT 84058</t>
  </si>
  <si>
    <t>(801) 822-8828</t>
  </si>
  <si>
    <t>Hello@hnlbuild.com</t>
  </si>
  <si>
    <t>Hobble Creek Construction</t>
  </si>
  <si>
    <t>Bryan Bird</t>
  </si>
  <si>
    <t>1036 E 490 N, American Fork, UT 84003</t>
  </si>
  <si>
    <t>(801) 763-9815</t>
  </si>
  <si>
    <t>bryan@hobblecc.com</t>
  </si>
  <si>
    <t>Hobble Creek Plumbing</t>
  </si>
  <si>
    <t>Chad Blackburn</t>
  </si>
  <si>
    <t>1742 W 500 N, Springville, UT 84663</t>
  </si>
  <si>
    <t>(801) 310-4832</t>
  </si>
  <si>
    <t>chad@ppsplumbing.org</t>
  </si>
  <si>
    <t>Holliman Siding &amp; Home Improvement</t>
  </si>
  <si>
    <t>Josh Holliman</t>
  </si>
  <si>
    <t>PO Box 50598, Provo, UT 84605</t>
  </si>
  <si>
    <t>(801) 836-2317</t>
  </si>
  <si>
    <t>sandyholliman@gmail.com</t>
  </si>
  <si>
    <t>Holyoak X LLC</t>
  </si>
  <si>
    <t>Seth Holyoak</t>
  </si>
  <si>
    <t>859 N 20 E, Santaquin, UT 84655</t>
  </si>
  <si>
    <t>(435) 260-1445</t>
  </si>
  <si>
    <t>holyoakx@gmail.com</t>
  </si>
  <si>
    <t>Home Base</t>
  </si>
  <si>
    <t>Sam Norton</t>
  </si>
  <si>
    <t>250 W Center, #300, Provo, UT 84601</t>
  </si>
  <si>
    <t>(719) 331-9298</t>
  </si>
  <si>
    <t>sam@homebase.build</t>
  </si>
  <si>
    <t>Home Innovations LLC</t>
  </si>
  <si>
    <t>Juan Martinez</t>
  </si>
  <si>
    <t>1185 N Utah State Rte 51, Spanish Fork, UT 84660</t>
  </si>
  <si>
    <t>(801) 787-4708</t>
  </si>
  <si>
    <t>jmartinez@homeinnovationsutah.com</t>
  </si>
  <si>
    <t>Home Sweet Home by Mitch</t>
  </si>
  <si>
    <t>Jake McCuistion</t>
  </si>
  <si>
    <t>223 W 520 N, Orem, UT 84057</t>
  </si>
  <si>
    <t>(801) 607-1086</t>
  </si>
  <si>
    <t>jake@homesweethomebymitch.com</t>
  </si>
  <si>
    <t>Homecourt Flooring</t>
  </si>
  <si>
    <t>Marchella Mathusek</t>
  </si>
  <si>
    <t>57 N Chalk Maple Ln, Vineyard, UT 84059</t>
  </si>
  <si>
    <t>(801) 910-1010</t>
  </si>
  <si>
    <t>marchella@homecourtflooring.com</t>
  </si>
  <si>
    <t>Homestead Electric</t>
  </si>
  <si>
    <t>Joshua Cloward</t>
  </si>
  <si>
    <t>1142 S 400 E, Salem, UT 84653</t>
  </si>
  <si>
    <t>(801) 367-9972</t>
  </si>
  <si>
    <t>Josh@homesteadelectric.net</t>
  </si>
  <si>
    <t>HOMEWARDesign</t>
  </si>
  <si>
    <t>Joseph Ward</t>
  </si>
  <si>
    <t>4777 W 12400 S, Spring Lake, UT 84651</t>
  </si>
  <si>
    <t>(801) 857-1667</t>
  </si>
  <si>
    <t>joseph@homewardesign.com</t>
  </si>
  <si>
    <t>Hone Insulation</t>
  </si>
  <si>
    <t>Dallas Shaw</t>
  </si>
  <si>
    <t>6836 S Cottonwood St, Midvale, UT 84047</t>
  </si>
  <si>
    <t>(801) 560-7735</t>
  </si>
  <si>
    <t>dshaw@honeinsulation.com</t>
  </si>
  <si>
    <t>Honey Bucket</t>
  </si>
  <si>
    <t>Mike Martinez</t>
  </si>
  <si>
    <t>4267 W Central Ave, Salt Lake City, UT 84104</t>
  </si>
  <si>
    <t>(801) 691-2995</t>
  </si>
  <si>
    <t>mikemartinez@honeybucket.com</t>
  </si>
  <si>
    <t>Houtz Woodworks</t>
  </si>
  <si>
    <t>Alan Houtz</t>
  </si>
  <si>
    <t>1683 W Alvey, Mapleton, UT 84663</t>
  </si>
  <si>
    <t>(801) 420-3240</t>
  </si>
  <si>
    <t>alan@houtzwoodworks.com</t>
  </si>
  <si>
    <t>Huish's</t>
  </si>
  <si>
    <t>Jason Huish</t>
  </si>
  <si>
    <t>1767 S State St, Orem, UT 84097</t>
  </si>
  <si>
    <t>(801) 225-1512</t>
  </si>
  <si>
    <t>jason@huishenterprises.com</t>
  </si>
  <si>
    <t>I Got Poop</t>
  </si>
  <si>
    <t>Kirsty Penovich</t>
  </si>
  <si>
    <t>5145 N Highway 6, Helper, UT 84526</t>
  </si>
  <si>
    <t>(435) 472-2580</t>
  </si>
  <si>
    <t>kristy@igotpoop.com</t>
  </si>
  <si>
    <t>IES Residential</t>
  </si>
  <si>
    <t>Jody Durham</t>
  </si>
  <si>
    <t>978 Woodoak Ln, Salt Lake City, UT 84117</t>
  </si>
  <si>
    <t>(801) 491-9877</t>
  </si>
  <si>
    <t>jody.durham@ies-co.com</t>
  </si>
  <si>
    <t>Image Home Decor</t>
  </si>
  <si>
    <t>Michael Villarruel</t>
  </si>
  <si>
    <t>85 E Bay Blvd, Provo, UT 84606</t>
  </si>
  <si>
    <t>(385) 309-0333</t>
  </si>
  <si>
    <t>orders.lhd@gmail.com</t>
  </si>
  <si>
    <t>Inception Homes, LLC</t>
  </si>
  <si>
    <t>Ben Nielsen</t>
  </si>
  <si>
    <t>3716 S Garibaldi Way, Saratoga Springs, UT 84045</t>
  </si>
  <si>
    <t>(801) 230-8192</t>
  </si>
  <si>
    <t>ben@inceptionhomesutah.com</t>
  </si>
  <si>
    <t>Innovate Construction</t>
  </si>
  <si>
    <t>Brady Roundy</t>
  </si>
  <si>
    <t>270 S Mountainlands Dr, #7, Orem, UT 84058</t>
  </si>
  <si>
    <t>(801) 362-6438</t>
  </si>
  <si>
    <t>bradybroundy@gmail.com</t>
  </si>
  <si>
    <t>Inside Outside Architectural Drafting &amp; Design</t>
  </si>
  <si>
    <t>Deborah Carter</t>
  </si>
  <si>
    <t>10415 N Canterbury Dr, Highland, UT 84003</t>
  </si>
  <si>
    <t>(801) 592-8484</t>
  </si>
  <si>
    <t>Inside.outside1998@gmail.com</t>
  </si>
  <si>
    <t>Intercap Lending</t>
  </si>
  <si>
    <t>Jessica Phair</t>
  </si>
  <si>
    <t>525 E 3950 N, Provo, UT 84604</t>
  </si>
  <si>
    <t>(801) 369-6746</t>
  </si>
  <si>
    <t>jessica.phair@intercaplending.com</t>
  </si>
  <si>
    <t>Interior Concepts Design House</t>
  </si>
  <si>
    <t>Jacci Hood-Miller</t>
  </si>
  <si>
    <t>175 S 1300 W, Pleasant Grove, UT 84062</t>
  </si>
  <si>
    <t>(801) 372-3399</t>
  </si>
  <si>
    <t>jaccihood@yahoo.com</t>
  </si>
  <si>
    <t>Interior Worx</t>
  </si>
  <si>
    <t>Julie Reinecke</t>
  </si>
  <si>
    <t>9657 S 600 W, Sandy, UT 84070</t>
  </si>
  <si>
    <t>(801) 619-0200</t>
  </si>
  <si>
    <t>jreinecke@interiorworx.com</t>
  </si>
  <si>
    <t>Intermountain Fence Pros</t>
  </si>
  <si>
    <t>Josh Petersen</t>
  </si>
  <si>
    <t>2636 N Bluebell Dr, Saratoga Springs, UT 84045</t>
  </si>
  <si>
    <t>(801) 960-5553</t>
  </si>
  <si>
    <t>sales@intermountainfencepros.com</t>
  </si>
  <si>
    <t>Interstate Brick Company</t>
  </si>
  <si>
    <t>Kelly Stika</t>
  </si>
  <si>
    <t>9780 S 5200 W, West Jordan, UT 84081</t>
  </si>
  <si>
    <t>(801) 280-5200</t>
  </si>
  <si>
    <t>kelly.stika@interstatebrick.com</t>
  </si>
  <si>
    <t>Inzpire Home Design</t>
  </si>
  <si>
    <t>Trevor Hudspeth</t>
  </si>
  <si>
    <t>76 W 1900 N, Spanish Fork, UT 84660</t>
  </si>
  <si>
    <t>(801) 794-2333</t>
  </si>
  <si>
    <t>office@inzpirehd.com</t>
  </si>
  <si>
    <t>Iris Imaging, LLC</t>
  </si>
  <si>
    <t>Phil Secrist</t>
  </si>
  <si>
    <t>12297 S Margaret Rose Dr, Riverton, UT 84065</t>
  </si>
  <si>
    <t>(801) 694-8980</t>
  </si>
  <si>
    <t>phil@irisutah.com</t>
  </si>
  <si>
    <t>Iron Door Works</t>
  </si>
  <si>
    <t>Michael Geddes</t>
  </si>
  <si>
    <t>2051 E Red Hills Pkwy, St George, UT 84770</t>
  </si>
  <si>
    <t>(844) 366-7967</t>
  </si>
  <si>
    <t>evan@irondoorworks.com</t>
  </si>
  <si>
    <t>Ironclad Site Services</t>
  </si>
  <si>
    <t>Jared Colledge</t>
  </si>
  <si>
    <t>5513 W 11000 N, #454, Highland, UT 84003</t>
  </si>
  <si>
    <t>(801) 382-9965</t>
  </si>
  <si>
    <t>icssutah@gmail.com</t>
  </si>
  <si>
    <t>Irontown Homes</t>
  </si>
  <si>
    <t>Kam Valgardson</t>
  </si>
  <si>
    <t>1947 N Chappel Dr, Spanish Fork, UT 84660</t>
  </si>
  <si>
    <t>(801) 798-9026</t>
  </si>
  <si>
    <t>Kam@irontownmodular.com</t>
  </si>
  <si>
    <t>Ivory Homes</t>
  </si>
  <si>
    <t>David Zollinger</t>
  </si>
  <si>
    <t>(801) 747-7000</t>
  </si>
  <si>
    <t>davez@ivoryhomes.com</t>
  </si>
  <si>
    <t>J &amp; P Berry Construction &amp; Services LLC</t>
  </si>
  <si>
    <t>Jed Berry</t>
  </si>
  <si>
    <t>18455 W Carter Cir, Cedar Valley, UT 84013</t>
  </si>
  <si>
    <t>(801) 400-2681</t>
  </si>
  <si>
    <t>jberry@cedarvalleynet.com</t>
  </si>
  <si>
    <t>J. Fisk Designs L.C.</t>
  </si>
  <si>
    <t>Jeffrey A Fisk</t>
  </si>
  <si>
    <t>785 S 200 E, Springville, UT 84663</t>
  </si>
  <si>
    <t>(801) 358-9789</t>
  </si>
  <si>
    <t>fiskdesigns@gmail.com</t>
  </si>
  <si>
    <t>J. Lyne Roberts &amp; Sons</t>
  </si>
  <si>
    <t>David Fenn</t>
  </si>
  <si>
    <t>1052 S 250 E, Provo, UT 84606</t>
  </si>
  <si>
    <t>(801) 373-5642</t>
  </si>
  <si>
    <t>scott@jlrcontractors.com</t>
  </si>
  <si>
    <t>J.M. Thomas</t>
  </si>
  <si>
    <t>Mark Talbot</t>
  </si>
  <si>
    <t>2525 N Highway 89, Ogden, UT 84404</t>
  </si>
  <si>
    <t>(801) 940-2316</t>
  </si>
  <si>
    <t>bob@thomasforest.com</t>
  </si>
  <si>
    <t>J2 Electric</t>
  </si>
  <si>
    <t>Jeff Wybrant</t>
  </si>
  <si>
    <t>681 E 130 S, Salem, UT 84653</t>
  </si>
  <si>
    <t>(385) 505-0171</t>
  </si>
  <si>
    <t>jeff@j2electric.com</t>
  </si>
  <si>
    <t>J2 Homes Inc.</t>
  </si>
  <si>
    <t>Scot M Jones</t>
  </si>
  <si>
    <t>5754 W 10620 N, Highland, UT 84003</t>
  </si>
  <si>
    <t>(801) 830-4242</t>
  </si>
  <si>
    <t>scot@j2homes.net</t>
  </si>
  <si>
    <t>JAB Brothers Marble and Granite</t>
  </si>
  <si>
    <t>Arturo Borjon</t>
  </si>
  <si>
    <t>565 W Billinis Rd, Salt Lake City, UT 84115</t>
  </si>
  <si>
    <t>(801) 425-1454</t>
  </si>
  <si>
    <t>jabmarbleandgranite@gmail.com</t>
  </si>
  <si>
    <t>Jack William Homes</t>
  </si>
  <si>
    <t>Greg Bird</t>
  </si>
  <si>
    <t>1983 N 1120 W, Provo, UT 84604</t>
  </si>
  <si>
    <t>(801) 704-3447</t>
  </si>
  <si>
    <t>info@jackwilliamhomes.com</t>
  </si>
  <si>
    <t>Jam Home Solutions</t>
  </si>
  <si>
    <t>Jimmy Juarez</t>
  </si>
  <si>
    <t>2518 Pine Needle Pl, Taylorsville, UT 84129</t>
  </si>
  <si>
    <t>(385) 302-2262</t>
  </si>
  <si>
    <t>jamhomesolutions07@gmail.com</t>
  </si>
  <si>
    <t>J&amp;H Landscaping</t>
  </si>
  <si>
    <t>Jackson Hinckley</t>
  </si>
  <si>
    <t>501 N Osier Ave, Lehi, UT 84043</t>
  </si>
  <si>
    <t>(801) 472-7062</t>
  </si>
  <si>
    <t>hinckleyjackson@gmail.com</t>
  </si>
  <si>
    <t>J&amp;R Scaping</t>
  </si>
  <si>
    <t>Jared Smith</t>
  </si>
  <si>
    <t>5725 W 10000 S, Payson, UT 84651</t>
  </si>
  <si>
    <t>(801) 400-2473</t>
  </si>
  <si>
    <t>officejrscaping@gmail.com</t>
  </si>
  <si>
    <t>Jarvis Construction</t>
  </si>
  <si>
    <t>Jarrett Jarvis</t>
  </si>
  <si>
    <t>781 S 82 E, Spanish Fork, UT 84660</t>
  </si>
  <si>
    <t>(801) 472-5770</t>
  </si>
  <si>
    <t>jarrettjarvis@gmail.com</t>
  </si>
  <si>
    <t>Jasper Plumbing</t>
  </si>
  <si>
    <t>Boe Jasper</t>
  </si>
  <si>
    <t>1798 N 1400 E, Lehi, UT 84043</t>
  </si>
  <si>
    <t>(801) 381-1480</t>
  </si>
  <si>
    <t>jasperplumbinginc@gmail.com</t>
  </si>
  <si>
    <t>JD Masonry &amp; Exteriors</t>
  </si>
  <si>
    <t>Juan David Arango</t>
  </si>
  <si>
    <t>3881 N Chapman Dr, Eagle Mountain, UT 84005</t>
  </si>
  <si>
    <t>(801) 835-1070</t>
  </si>
  <si>
    <t>jdmasonry.exteriors@gmail.com</t>
  </si>
  <si>
    <t>Jeff Adams Design, LLC</t>
  </si>
  <si>
    <t>Ryan Moss</t>
  </si>
  <si>
    <t>1314 W 11400 S, #200, South Jordan, UT 84095</t>
  </si>
  <si>
    <t>(801) 916-4925</t>
  </si>
  <si>
    <t>Parker@jeffadamsdesign.com</t>
  </si>
  <si>
    <t>Jeff Dumas Concrete Construction, LLC</t>
  </si>
  <si>
    <t>Jamie Dumas</t>
  </si>
  <si>
    <t>5930 S 450 E, Murray, UT 84107</t>
  </si>
  <si>
    <t>(801) 330-1873</t>
  </si>
  <si>
    <t>eliteut@aol.com</t>
  </si>
  <si>
    <t>Jerry Seiner GMC, Buick, &amp; Isuzu</t>
  </si>
  <si>
    <t>Frank Graf</t>
  </si>
  <si>
    <t>10487 S Jordan Gateway, South Jordan, UT 84095</t>
  </si>
  <si>
    <t>(801) 372-0487</t>
  </si>
  <si>
    <t>matt.tilton@jerryseiner.com</t>
  </si>
  <si>
    <t>Jerry Stubbs Construction</t>
  </si>
  <si>
    <t>Trever Stubbs</t>
  </si>
  <si>
    <t>1058 E 1420 S, Spanish Fork, UT 84660</t>
  </si>
  <si>
    <t>(801) 822-1621</t>
  </si>
  <si>
    <t>treverjstubbs@gmail.com</t>
  </si>
  <si>
    <t>Jeske Glass</t>
  </si>
  <si>
    <t>Brock Jeske</t>
  </si>
  <si>
    <t>1932 N State, Provo, UT 84601</t>
  </si>
  <si>
    <t>(801) 722-4046</t>
  </si>
  <si>
    <t>rick@jeskeglass.com</t>
  </si>
  <si>
    <t>Jewkes Design</t>
  </si>
  <si>
    <t>Chase Stolworthy</t>
  </si>
  <si>
    <t>250 W Center St, #360, Provo, UT 84601</t>
  </si>
  <si>
    <t>(801) 318-2494</t>
  </si>
  <si>
    <t>team@jewkesdesign.com</t>
  </si>
  <si>
    <t>JM Custom Finishes LLC</t>
  </si>
  <si>
    <t>Jason Martinez</t>
  </si>
  <si>
    <t>5537 S 4100 W, Roy, UT 84067</t>
  </si>
  <si>
    <t>(801) 915-7837</t>
  </si>
  <si>
    <t>jmcustomfinishes@gmail.com</t>
  </si>
  <si>
    <t>JobSite.codes</t>
  </si>
  <si>
    <t>Alec Medina</t>
  </si>
  <si>
    <t>12441 S 900 E, #185, Draper, UT 84020</t>
  </si>
  <si>
    <t>(801) 425-0474</t>
  </si>
  <si>
    <t>steve@jobsitecodes.com</t>
  </si>
  <si>
    <t>Joel's Painting LLC</t>
  </si>
  <si>
    <t>Joel Cortes</t>
  </si>
  <si>
    <t>1011 W 690 S, Provo, UT 84601</t>
  </si>
  <si>
    <t>(801) 837-9484</t>
  </si>
  <si>
    <t>joelspaintingutah@gmail.com</t>
  </si>
  <si>
    <t>Jomar Business Trust</t>
  </si>
  <si>
    <t>Mara</t>
  </si>
  <si>
    <t>261 River Meadow Dr, Alpine, UT 84004</t>
  </si>
  <si>
    <t>(801) 756-0990</t>
  </si>
  <si>
    <t>mara@jomarconstruction.com</t>
  </si>
  <si>
    <t>Jones Mechanical, Inc.</t>
  </si>
  <si>
    <t>Gregory R Jones</t>
  </si>
  <si>
    <t>476 E 1750 N, Vineyard, UT 84059</t>
  </si>
  <si>
    <t>(801) 310-8170</t>
  </si>
  <si>
    <t>jonesmechanical@gmail.com</t>
  </si>
  <si>
    <t>Jones Paint &amp; Glass</t>
  </si>
  <si>
    <t>Jeff Jones</t>
  </si>
  <si>
    <t>1250 W 100 N, Provo, UT 84601</t>
  </si>
  <si>
    <t>(801) 374-6711</t>
  </si>
  <si>
    <t>jeff.jones@jonespg.com</t>
  </si>
  <si>
    <t>Journeys End Homes</t>
  </si>
  <si>
    <t>Mapleton, UT 84664</t>
  </si>
  <si>
    <t>321 N Clegg Canyon Dr, Mapleton, UT 84664</t>
  </si>
  <si>
    <t>(801) 735-1080</t>
  </si>
  <si>
    <t>journeysendhomes@gmail.com</t>
  </si>
  <si>
    <t>JR Plumbing</t>
  </si>
  <si>
    <t>Jose R. Villanueva</t>
  </si>
  <si>
    <t>PO Box 1303, Salem, UT 84653</t>
  </si>
  <si>
    <t>(801) 358-7715</t>
  </si>
  <si>
    <t>jrplumbing1@msn.com</t>
  </si>
  <si>
    <t>JT Digs Excavation</t>
  </si>
  <si>
    <t>Jeremey King</t>
  </si>
  <si>
    <t>1016 E 1600 S, Mapleton, UT 84664</t>
  </si>
  <si>
    <t>(801) 913-1996</t>
  </si>
  <si>
    <t>jking@jtdigs.com</t>
  </si>
  <si>
    <t>JT Homes, Inc.</t>
  </si>
  <si>
    <t>Jared Turnbow</t>
  </si>
  <si>
    <t>1156 N 1120 W, Pleasant Grove, UT 84062</t>
  </si>
  <si>
    <t>(801) 420-1090</t>
  </si>
  <si>
    <t>jared@jthomesutah.com</t>
  </si>
  <si>
    <t>JT SWPPP</t>
  </si>
  <si>
    <t>Jonah Joines</t>
  </si>
  <si>
    <t>1881 N Artesia Dr, St George, UT 84770</t>
  </si>
  <si>
    <t>(435) 414-5212</t>
  </si>
  <si>
    <t>jonah@jtswppp.com</t>
  </si>
  <si>
    <t>K-Tech Plumbing</t>
  </si>
  <si>
    <t>Jeremy Kirby</t>
  </si>
  <si>
    <t>450 S 1325 W, Orem, UT 84058</t>
  </si>
  <si>
    <t>(801) 785-0779</t>
  </si>
  <si>
    <t>office@K-TechPlumbing.com</t>
  </si>
  <si>
    <t>K.T. Hardwoods</t>
  </si>
  <si>
    <t>Shane Tolbert</t>
  </si>
  <si>
    <t>7858 S 1300 W, West Jordan, UT 84088</t>
  </si>
  <si>
    <t>(801) 568-9155</t>
  </si>
  <si>
    <t>shane@kthardwoods.com</t>
  </si>
  <si>
    <t>K4 Cabinetry</t>
  </si>
  <si>
    <t>Mandi Kener</t>
  </si>
  <si>
    <t>1678 S 1900 W, West Haven, UT 84401</t>
  </si>
  <si>
    <t>(385) 244-8647</t>
  </si>
  <si>
    <t>k4cabinetry@gmail.com</t>
  </si>
  <si>
    <t>Kaizen Custom Homes</t>
  </si>
  <si>
    <t>Trevor Pyne</t>
  </si>
  <si>
    <t>64 S 850 E, American Fork, UT 84003</t>
  </si>
  <si>
    <t>(801) 427-0258</t>
  </si>
  <si>
    <t>kaizentrev@gmail.com</t>
  </si>
  <si>
    <t>KCL Design</t>
  </si>
  <si>
    <t>Kaylie Lee</t>
  </si>
  <si>
    <t>(801) 787-5186</t>
  </si>
  <si>
    <t>kol.design1@gmail.com</t>
  </si>
  <si>
    <t>Keele Excavating</t>
  </si>
  <si>
    <t>Wyatt Keele</t>
  </si>
  <si>
    <t>1728 N Sparrow Way, Salem, UT 84653</t>
  </si>
  <si>
    <t>(385) 230-8085</t>
  </si>
  <si>
    <t>keele.excavating@outlook.com</t>
  </si>
  <si>
    <t>Keele Homes</t>
  </si>
  <si>
    <t>Mercedes Keele</t>
  </si>
  <si>
    <t>(385) 404-9351</t>
  </si>
  <si>
    <t>keele.homes@outlook.com</t>
  </si>
  <si>
    <t>Kenny Seng Construction</t>
  </si>
  <si>
    <t>Kenny Seng</t>
  </si>
  <si>
    <t>814 S 3110 W, Provo, UT 84601</t>
  </si>
  <si>
    <t>(801) 226-4125</t>
  </si>
  <si>
    <t>kennys@kennyseng.com</t>
  </si>
  <si>
    <t>Ken's Drywall Service, Inc.</t>
  </si>
  <si>
    <t>Neal Baker</t>
  </si>
  <si>
    <t>PO Box 525, Price, UT 84501</t>
  </si>
  <si>
    <t>(801) 367-1288</t>
  </si>
  <si>
    <t>heatheba@yahoo.com</t>
  </si>
  <si>
    <t>Keystone Construction</t>
  </si>
  <si>
    <t>Jeff Glazier</t>
  </si>
  <si>
    <t>42 E 1100 S, Ste 1B, American Fork, UT 84003</t>
  </si>
  <si>
    <t>(801) 623-7556</t>
  </si>
  <si>
    <t>jeff@keyut.com</t>
  </si>
  <si>
    <t>Kirby Construction</t>
  </si>
  <si>
    <t>Derek Kirby</t>
  </si>
  <si>
    <t>2543 E Springtime Rd, Draper, UT 84020</t>
  </si>
  <si>
    <t>(801) 404-8415</t>
  </si>
  <si>
    <t>derek@kirbyconstruct.com</t>
  </si>
  <si>
    <t>KM Landscape LLC</t>
  </si>
  <si>
    <t>Kyle Mangelson</t>
  </si>
  <si>
    <t>151 E Main, #2, Santaquin, UT 84655</t>
  </si>
  <si>
    <t>(801) 376-2075</t>
  </si>
  <si>
    <t>playindirtllc@gmail.com</t>
  </si>
  <si>
    <t>KMW Construction Inc.</t>
  </si>
  <si>
    <t>Kevin Miner</t>
  </si>
  <si>
    <t>2591 S Lookout Ridge Dr, Mapleton, UT 84664</t>
  </si>
  <si>
    <t>(801) 636-0897</t>
  </si>
  <si>
    <t>_miner72@live.com</t>
  </si>
  <si>
    <t>Knight West Builders, LLC</t>
  </si>
  <si>
    <t>Carl Baldwin</t>
  </si>
  <si>
    <t>465 E 1000 S, Pleasant Grove, UT 84062</t>
  </si>
  <si>
    <t>(801) 785-8025</t>
  </si>
  <si>
    <t>bill@knightwest.com</t>
  </si>
  <si>
    <t>Kodiak Builders Inc.</t>
  </si>
  <si>
    <t>Brandon Holland</t>
  </si>
  <si>
    <t>1867 N 600 W, Lehi, UT 84043</t>
  </si>
  <si>
    <t>(801) 234-0272</t>
  </si>
  <si>
    <t>kodiakbuilders@comcast.net</t>
  </si>
  <si>
    <t>Kreat Art Design</t>
  </si>
  <si>
    <t>Giuseppe Palumbo</t>
  </si>
  <si>
    <t>2058 W 1080 N, Provo, UT 84604</t>
  </si>
  <si>
    <t>(801) 493-5602</t>
  </si>
  <si>
    <t>kreatartdesign18@yahoo.com</t>
  </si>
  <si>
    <t>Kyco Services</t>
  </si>
  <si>
    <t>Pierre Guzman</t>
  </si>
  <si>
    <t>4115 S 800 W, Spanish Fork, UT 84660</t>
  </si>
  <si>
    <t>(801) 794-3822</t>
  </si>
  <si>
    <t>david@kycoservices.com</t>
  </si>
  <si>
    <t>L.W.S. Painting Inc.</t>
  </si>
  <si>
    <t>Mark Sweeten</t>
  </si>
  <si>
    <t>23 N 400 W, Lindon, UT 84042</t>
  </si>
  <si>
    <t>(801) 735-9441</t>
  </si>
  <si>
    <t>marksweeten9441@msn.com</t>
  </si>
  <si>
    <t>L&amp;T Construction</t>
  </si>
  <si>
    <t>Tom Bankhead</t>
  </si>
  <si>
    <t>215 S Orem Blvd, Orem, UT 84058</t>
  </si>
  <si>
    <t>(801) 226-0080</t>
  </si>
  <si>
    <t>tom@l-tconstruction.com</t>
  </si>
  <si>
    <t>La Fucina</t>
  </si>
  <si>
    <t>Darla Thomas</t>
  </si>
  <si>
    <t>8427 S Old Bingham Hwy, West Jordan, UT 84088</t>
  </si>
  <si>
    <t>(385) 715-4010</t>
  </si>
  <si>
    <t>darla@lafucina.co</t>
  </si>
  <si>
    <t>Lakeridge Construction</t>
  </si>
  <si>
    <t>Steve Smith</t>
  </si>
  <si>
    <t>6568 W 10250 N, Highland, UT 84003</t>
  </si>
  <si>
    <t>(801) 735-1797</t>
  </si>
  <si>
    <t>lakeridgeco@gmail.com</t>
  </si>
  <si>
    <t>Larson and Company</t>
  </si>
  <si>
    <t>Y. Andrew Wan, CPA</t>
  </si>
  <si>
    <t>1606 Spanish Fork Pkwy, #200, Spanish Fork, UT 84660</t>
  </si>
  <si>
    <t>(801) 798-3545</t>
  </si>
  <si>
    <t>awan@larsco.com</t>
  </si>
  <si>
    <t>Lava River Framing</t>
  </si>
  <si>
    <t>Ryan Noel</t>
  </si>
  <si>
    <t>770 E Main St, #142, Lehi, UT 84043</t>
  </si>
  <si>
    <t>(720) 326-6220</t>
  </si>
  <si>
    <t>office@lavariverframing.com</t>
  </si>
  <si>
    <t>Lavender + Oaks</t>
  </si>
  <si>
    <t>Travis John Barker</t>
  </si>
  <si>
    <t>7895 N Secretariat Rd, Eagle Mountain, UT 84006</t>
  </si>
  <si>
    <t>(801) 786-9817</t>
  </si>
  <si>
    <t>travis@lavenderandoaks.com</t>
  </si>
  <si>
    <t>LDB Design Solutions, LLC</t>
  </si>
  <si>
    <t>Laura Burget</t>
  </si>
  <si>
    <t>(704) 589-3224</t>
  </si>
  <si>
    <t>lauraburget@gmail.com</t>
  </si>
  <si>
    <t>LeBaron &amp; Carrol Business Insurance Experts</t>
  </si>
  <si>
    <t>Zach Timmerman</t>
  </si>
  <si>
    <t>2183 W Main St, #A206, Lehi, UT 84043</t>
  </si>
  <si>
    <t>(801) 899-9402</t>
  </si>
  <si>
    <t>ztimmerman@lebaroncarroll.com</t>
  </si>
  <si>
    <t>Legacy Contractors</t>
  </si>
  <si>
    <t>Bill</t>
  </si>
  <si>
    <t>Legacy Drafting and Design</t>
  </si>
  <si>
    <t>Greg Brown</t>
  </si>
  <si>
    <t>962 W 800 N, Orem, UT 84057</t>
  </si>
  <si>
    <t>(801) 221-4777</t>
  </si>
  <si>
    <t>info@legacyhomedesign.com</t>
  </si>
  <si>
    <t>LEI Consulting Engineers and Surveyors, Inc.</t>
  </si>
  <si>
    <t>Greg Magleby</t>
  </si>
  <si>
    <t>3302 N Main St, Spanish Fork, UT 84660</t>
  </si>
  <si>
    <t>(801) 798-0555</t>
  </si>
  <si>
    <t>office@lei-eng.com</t>
  </si>
  <si>
    <t>Lemarini Construction</t>
  </si>
  <si>
    <t>Mario Lemarini</t>
  </si>
  <si>
    <t>508 N 1160 E, Spanish Fork, UT 84660</t>
  </si>
  <si>
    <t>(385) 224-0773</t>
  </si>
  <si>
    <t>mario@lemarini.construction</t>
  </si>
  <si>
    <t>Lemco Flooring &amp; Design</t>
  </si>
  <si>
    <t>Brandon Herzog</t>
  </si>
  <si>
    <t>4794 S Commerce Dr, Murray, UT 84107</t>
  </si>
  <si>
    <t>(801) 262-9989</t>
  </si>
  <si>
    <t>brandon@lemcodesign.com</t>
  </si>
  <si>
    <t>Lennar</t>
  </si>
  <si>
    <t>Kelsey Pridemore</t>
  </si>
  <si>
    <t>111 E Sego Lily Dr, #150, Sandy, UT 84070</t>
  </si>
  <si>
    <t>(801) 508-5523</t>
  </si>
  <si>
    <t>kelsey.pridemore@lennar.com</t>
  </si>
  <si>
    <t>Lewis Contracting LLC</t>
  </si>
  <si>
    <t>Aaron Lewis</t>
  </si>
  <si>
    <t>553 E 200 S, Salem, UT 84653</t>
  </si>
  <si>
    <t>(801) 362-5552</t>
  </si>
  <si>
    <t>lewiscontractinginc@gmail.com</t>
  </si>
  <si>
    <t>LH Masonry</t>
  </si>
  <si>
    <t>Luis Hernandez</t>
  </si>
  <si>
    <t>1320 W 810 S, Provo, UT 84601</t>
  </si>
  <si>
    <t>(801) 358-2116</t>
  </si>
  <si>
    <t>luishernandez@lhmasonryllc.com</t>
  </si>
  <si>
    <t>Lifetime Coatings</t>
  </si>
  <si>
    <t>Porter Andreasen</t>
  </si>
  <si>
    <t>777 S Auto Mall Dr, #112, American Fork, UT 84003</t>
  </si>
  <si>
    <t>(801) 203-4466</t>
  </si>
  <si>
    <t>office@lifetime-coatings.com</t>
  </si>
  <si>
    <t>Lighting Design</t>
  </si>
  <si>
    <t>Sydney Bateman</t>
  </si>
  <si>
    <t>11538 S State St, #100, Draper, UT 84020</t>
  </si>
  <si>
    <t>(801) 495-1948</t>
  </si>
  <si>
    <t>sydney@lightingdesign.com</t>
  </si>
  <si>
    <t>Lighting Specialists</t>
  </si>
  <si>
    <t>Greg Johnson</t>
  </si>
  <si>
    <t>1140 N 1200 W, Orem, UT 84057</t>
  </si>
  <si>
    <t>(801) 224-8365</t>
  </si>
  <si>
    <t>greg@lightingspecialists.com</t>
  </si>
  <si>
    <t>Lima One Capital</t>
  </si>
  <si>
    <t>Heidi Hawk</t>
  </si>
  <si>
    <t>201 E McBee, #300, Greenville, SC 29603</t>
  </si>
  <si>
    <t>(360) 910-3117</t>
  </si>
  <si>
    <t>hhawk@limaonecapital.com</t>
  </si>
  <si>
    <t>Link AV</t>
  </si>
  <si>
    <t>Jordan Day</t>
  </si>
  <si>
    <t>762 W Horizon Dr, Lehi, UT 84043</t>
  </si>
  <si>
    <t>(404) 545-8342</t>
  </si>
  <si>
    <t>Jordan@Linkavutah.com</t>
  </si>
  <si>
    <t>Little Red Design LLC</t>
  </si>
  <si>
    <t>Lisa Ward</t>
  </si>
  <si>
    <t>4653 Brookshire Cir, Provo, UT 84604</t>
  </si>
  <si>
    <t>(801) 473-8888</t>
  </si>
  <si>
    <t>lisa@littlereddesign.co</t>
  </si>
  <si>
    <t>Loft Six Four</t>
  </si>
  <si>
    <t>Brandon Reed</t>
  </si>
  <si>
    <t>9500 S 500 W, #215, Sandy, UT 84070</t>
  </si>
  <si>
    <t>(801) 580-3325</t>
  </si>
  <si>
    <t>brandon@loftsixfour.com</t>
  </si>
  <si>
    <t>Logo Promotions</t>
  </si>
  <si>
    <t>Glenda Crapo</t>
  </si>
  <si>
    <t>391 Brayden Way, Draper, UT 84020</t>
  </si>
  <si>
    <t>(801) 592-4900</t>
  </si>
  <si>
    <t>glenda@logopromotions.net</t>
  </si>
  <si>
    <t>Lonestar Builders</t>
  </si>
  <si>
    <t>Mark Lomenick</t>
  </si>
  <si>
    <t>2208 W 700 S, Springville, UT 84663</t>
  </si>
  <si>
    <t>(801) 489-6188</t>
  </si>
  <si>
    <t>mark@lonestarbuildersinc.com</t>
  </si>
  <si>
    <t>Longevity Water Systems</t>
  </si>
  <si>
    <t>Spencer Healey</t>
  </si>
  <si>
    <t>6222 W 10000 S, Payson, UT 84651</t>
  </si>
  <si>
    <t>(801) 227-9650</t>
  </si>
  <si>
    <t>spencer@longevitywatersystems.com</t>
  </si>
  <si>
    <t>Lost Boys Demolition and Junk Removal LLC</t>
  </si>
  <si>
    <t>Dane Koozer</t>
  </si>
  <si>
    <t>1031 N 500 W, Orem, UT 84057</t>
  </si>
  <si>
    <t>(801) 602-0630</t>
  </si>
  <si>
    <t>lostboysut@gmail.com</t>
  </si>
  <si>
    <t>Louisiana Pacific</t>
  </si>
  <si>
    <t>Devin Montgomery</t>
  </si>
  <si>
    <t>5391 W Emmeline Dr, Herriman, UT 84096</t>
  </si>
  <si>
    <t>(385) 246-6338</t>
  </si>
  <si>
    <t>devin.montgomery@lpcorp.com</t>
  </si>
  <si>
    <t>Lowe's</t>
  </si>
  <si>
    <t>Andrew Fitch</t>
  </si>
  <si>
    <t>140 W University Pkwy, Orem, UT 84058</t>
  </si>
  <si>
    <t>(801) 201-9597</t>
  </si>
  <si>
    <t>andrew.j.fitch@lowes.com</t>
  </si>
  <si>
    <t>Lowry Doors</t>
  </si>
  <si>
    <t>Marshall Lowry</t>
  </si>
  <si>
    <t>782 N State St, Orem, UT 84057</t>
  </si>
  <si>
    <t>(801) 225-1885</t>
  </si>
  <si>
    <t>marshall@lowrydoors.com</t>
  </si>
  <si>
    <t>Lucid Design Build</t>
  </si>
  <si>
    <t>Kyle Wilson</t>
  </si>
  <si>
    <t>478 S 2470 W, #100, Provo, UT 84601</t>
  </si>
  <si>
    <t>(801) 615-4432</t>
  </si>
  <si>
    <t>kyle@buildlucid.com</t>
  </si>
  <si>
    <t>Luna Seamless Rain Gutters</t>
  </si>
  <si>
    <t>Shawn Barnum</t>
  </si>
  <si>
    <t>575 UT-198 #B, Salem, UT 84653</t>
  </si>
  <si>
    <t>(385) 985-5248</t>
  </si>
  <si>
    <t>info@lunaseamlessraingutters.com</t>
  </si>
  <si>
    <t>Macdon Construction Corp.</t>
  </si>
  <si>
    <t>Luke Macdonald</t>
  </si>
  <si>
    <t>5581 W 8400 S, Payson, UT 84651</t>
  </si>
  <si>
    <t>(385) 221-4964</t>
  </si>
  <si>
    <t>macdon.construction.utah@gmail.com</t>
  </si>
  <si>
    <t>Madelynn Ave</t>
  </si>
  <si>
    <t>Oscar Abadillo</t>
  </si>
  <si>
    <t>2747 N 900 E, Lehi, UT 84043</t>
  </si>
  <si>
    <t>(208) 270-4285</t>
  </si>
  <si>
    <t>official@madelynnave.com</t>
  </si>
  <si>
    <t>Magleby Construction, LLC</t>
  </si>
  <si>
    <t>Chad Magleby</t>
  </si>
  <si>
    <t>1291 W Center St, Lindon, UT 84042</t>
  </si>
  <si>
    <t>(801) 785-9998</t>
  </si>
  <si>
    <t>cmeryhew@maglebyconstruction.com</t>
  </si>
  <si>
    <t>Magnify Real Estate</t>
  </si>
  <si>
    <t>Heather Johnson</t>
  </si>
  <si>
    <t>825 E 800 N, #106, Orem, UT 84097</t>
  </si>
  <si>
    <t>(801) 369-4841</t>
  </si>
  <si>
    <t>heather@magnifyrealestate.com</t>
  </si>
  <si>
    <t>Magnum Manufacturing</t>
  </si>
  <si>
    <t>Jason Smith</t>
  </si>
  <si>
    <t>575 W 220 S, Pleasant Grove, UT 84062</t>
  </si>
  <si>
    <t>(801) 785-9700</t>
  </si>
  <si>
    <t>jsmith@magnum-usa.com</t>
  </si>
  <si>
    <t>Magnus Builders</t>
  </si>
  <si>
    <t>Jacob Erekson</t>
  </si>
  <si>
    <t>852 E 1910 S, Provo, UT 84606</t>
  </si>
  <si>
    <t>(801) 900-1171</t>
  </si>
  <si>
    <t>jacob@magnus-builders.com</t>
  </si>
  <si>
    <t>Mahogany Design</t>
  </si>
  <si>
    <t>Spencer Coles</t>
  </si>
  <si>
    <t>3438 N 1450 W, Pleasant Grove, UT 84062</t>
  </si>
  <si>
    <t>(801) 717-7408</t>
  </si>
  <si>
    <t>spencer@mahoganydesign.com</t>
  </si>
  <si>
    <t>Main Street Mechanic</t>
  </si>
  <si>
    <t>Rod Martin</t>
  </si>
  <si>
    <t>337 W Main St, American Fork, UT 84003</t>
  </si>
  <si>
    <t>(801) 756-2661</t>
  </si>
  <si>
    <t>owner@mainstreetmechanic.com</t>
  </si>
  <si>
    <t>Make It Market Ready</t>
  </si>
  <si>
    <t>David Bennion</t>
  </si>
  <si>
    <t>210 N 1200 E, Lehi, UT 84043</t>
  </si>
  <si>
    <t>(703) 638-0237</t>
  </si>
  <si>
    <t>david@makeitmarketready.com</t>
  </si>
  <si>
    <t>Maple Landing, Inc.</t>
  </si>
  <si>
    <t>Kyle Smith</t>
  </si>
  <si>
    <t>1890 W Alvey Dr, Mapleton, UT 84664</t>
  </si>
  <si>
    <t>(801) 489-3446</t>
  </si>
  <si>
    <t>mli@maplelanding.com</t>
  </si>
  <si>
    <t>Mapleton City</t>
  </si>
  <si>
    <t>Camille Brown</t>
  </si>
  <si>
    <t>125 W 400 N, Mapleton, UT 84664</t>
  </si>
  <si>
    <t>(801) 806-9106</t>
  </si>
  <si>
    <t>cbrown@mapleton.org</t>
  </si>
  <si>
    <t>Marrwall</t>
  </si>
  <si>
    <t>Johnny Marrder</t>
  </si>
  <si>
    <t>1776 Park Avenue, #18, Park City, UT 84060</t>
  </si>
  <si>
    <t>(832) 738-8046</t>
  </si>
  <si>
    <t>johnny@marrwall.com</t>
  </si>
  <si>
    <t>Marwood Design</t>
  </si>
  <si>
    <t>Marc Glover</t>
  </si>
  <si>
    <t>3886 Iron Rose PI, Salt Lake City, UT 84104</t>
  </si>
  <si>
    <t>(801) 414-9936</t>
  </si>
  <si>
    <t>Marc@marwooddesign.com</t>
  </si>
  <si>
    <t>Masterpiece Trade Services</t>
  </si>
  <si>
    <t>Jake Viles</t>
  </si>
  <si>
    <t>228 S 1060 W, Lindon, UT 84042</t>
  </si>
  <si>
    <t>(385) 293-1188</t>
  </si>
  <si>
    <t>jakev@mtstrades.com</t>
  </si>
  <si>
    <t>Masterworks Frames</t>
  </si>
  <si>
    <t>Michael Graham</t>
  </si>
  <si>
    <t>1518 W 400 S, Orem, UT 84058</t>
  </si>
  <si>
    <t>(801) 616-3079</t>
  </si>
  <si>
    <t>michael@masterworksframes.com</t>
  </si>
  <si>
    <t>Matt Caron Custom Cabinets, LLC</t>
  </si>
  <si>
    <t>Matt Caron</t>
  </si>
  <si>
    <t>435 S Oak Dr, Woodland Hills, UT 84653</t>
  </si>
  <si>
    <t>(801) 404-3589</t>
  </si>
  <si>
    <t>matt@caroncabinets.com</t>
  </si>
  <si>
    <t>Maven Design Company</t>
  </si>
  <si>
    <t>Crystal Hintze</t>
  </si>
  <si>
    <t>(801) 361-0066</t>
  </si>
  <si>
    <t>crystal@mavendesignco.com</t>
  </si>
  <si>
    <t>Maven Home Interiors</t>
  </si>
  <si>
    <t>Rachel Hutchens</t>
  </si>
  <si>
    <t>6053 W Dinsmore Way, West Jordan, UT 84081</t>
  </si>
  <si>
    <t>(909) 208-2353</t>
  </si>
  <si>
    <t>rachel@mavenhomeinteriors.com</t>
  </si>
  <si>
    <t>Maverick Concrete Coatings LLC</t>
  </si>
  <si>
    <t>Randon Morris</t>
  </si>
  <si>
    <t>102 N 2000 W, Pleasant Grove, UT 84062</t>
  </si>
  <si>
    <t>(801) 806-4765</t>
  </si>
  <si>
    <t>chase@maverickconcretecoatings.com</t>
  </si>
  <si>
    <t>McArthur Homes Inc.</t>
  </si>
  <si>
    <t>Shane Cook</t>
  </si>
  <si>
    <t>9962 S Redwood Rd, South Jordan, UT 84095</t>
  </si>
  <si>
    <t>(801) 446-8720</t>
  </si>
  <si>
    <t>shane@mcarthurhomes.com</t>
  </si>
  <si>
    <t>McCann Design Studio</t>
  </si>
  <si>
    <t>Richard McCann</t>
  </si>
  <si>
    <t>15069 S Peace Dr, Bluffdale, UT 84065</t>
  </si>
  <si>
    <t>(702) 468-1485</t>
  </si>
  <si>
    <t>richard@mccanndesignstudio.com</t>
  </si>
  <si>
    <t>McEwan Custom Homes, LLC</t>
  </si>
  <si>
    <t>Matt McEwan</t>
  </si>
  <si>
    <t>PO Box 1265, American Fork, UT 84003</t>
  </si>
  <si>
    <t>(801) 319-4663</t>
  </si>
  <si>
    <t>matt@mcewancustomhomes.com</t>
  </si>
  <si>
    <t>McKinley Homes</t>
  </si>
  <si>
    <t>Russell Maughan</t>
  </si>
  <si>
    <t>PO Box 527, Salem, UT 84653</t>
  </si>
  <si>
    <t>(801) 360-5848</t>
  </si>
  <si>
    <t>_russmaughan1@gmail.com</t>
  </si>
  <si>
    <t>Mercedes-Benz Van Center - Warner</t>
  </si>
  <si>
    <t>Mark Stapley</t>
  </si>
  <si>
    <t>5396 W 2400 W, West Valley City, UT 84120</t>
  </si>
  <si>
    <t>(801) 956-2700</t>
  </si>
  <si>
    <t>devan.myrick@mbvancenterwarner.com</t>
  </si>
  <si>
    <t>Method Custom Plumbing</t>
  </si>
  <si>
    <t>Brian Minshew</t>
  </si>
  <si>
    <t>599 W 2925 S, Mapleton, UT 84664</t>
  </si>
  <si>
    <t>(801) 669-1554</t>
  </si>
  <si>
    <t>methodcustomplumbing@gmail.com</t>
  </si>
  <si>
    <t>Metler Homes</t>
  </si>
  <si>
    <t>Steve Metler</t>
  </si>
  <si>
    <t>PO Box 1605, Provo, UT 84603</t>
  </si>
  <si>
    <t>(801) 434-8840</t>
  </si>
  <si>
    <t>tim@legendrealestate.com</t>
  </si>
  <si>
    <t>MGS by Design</t>
  </si>
  <si>
    <t>Matt Hansen</t>
  </si>
  <si>
    <t>425 E 1600 N, Vineyard, UT 84059</t>
  </si>
  <si>
    <t>(801) 722-0050</t>
  </si>
  <si>
    <t>ned@mgsbydesign.com</t>
  </si>
  <si>
    <t>Midway Painting Company</t>
  </si>
  <si>
    <t>Jonah Herman</t>
  </si>
  <si>
    <t>695 E Main St, #H, Midway, UT 84049</t>
  </si>
  <si>
    <t>(385) 501-3501</t>
  </si>
  <si>
    <t>jonah@midwaypaintingcompany.com</t>
  </si>
  <si>
    <t>Mike Klauck Construction</t>
  </si>
  <si>
    <t>Mike Klauck</t>
  </si>
  <si>
    <t>1180 N Mountain Springs Pkwy, Springville, UT 84663</t>
  </si>
  <si>
    <t>(801) 489-8162</t>
  </si>
  <si>
    <t>mike@mknewhomes.com</t>
  </si>
  <si>
    <t>Millhaven Homes</t>
  </si>
  <si>
    <t>Jeremy Ackley</t>
  </si>
  <si>
    <t>295 N State St, Lindon, UT 84042</t>
  </si>
  <si>
    <t>(801) 443-6540</t>
  </si>
  <si>
    <t>bj@millhavenhomes.com</t>
  </si>
  <si>
    <t>Minky Couture</t>
  </si>
  <si>
    <t>Sandi Hendry</t>
  </si>
  <si>
    <t>475 Depo Dr, Ogden, UT 84404</t>
  </si>
  <si>
    <t>(844) 222-1967</t>
  </si>
  <si>
    <t>info@minkycouture.com</t>
  </si>
  <si>
    <t>Mitchell Excavation Inc.</t>
  </si>
  <si>
    <t>Scott Mitchell</t>
  </si>
  <si>
    <t>1455 W 200 S, Lindon, UT 84042</t>
  </si>
  <si>
    <t>(801) 785-0774</t>
  </si>
  <si>
    <t>scott@mitchellx.com</t>
  </si>
  <si>
    <t>Mix &amp; Mesh</t>
  </si>
  <si>
    <t>Olivia Benson</t>
  </si>
  <si>
    <t>801 E 480 S, #A, American Fork, UT 84003</t>
  </si>
  <si>
    <t>(801) 410-2458</t>
  </si>
  <si>
    <t>olivia@mixandmesh.com</t>
  </si>
  <si>
    <t>Mizu, Inc</t>
  </si>
  <si>
    <t>Aaron Redford</t>
  </si>
  <si>
    <t>175 N 1800 W, Lindon, UT 84042</t>
  </si>
  <si>
    <t>(801) 373-0329</t>
  </si>
  <si>
    <t>info@getmizu.com</t>
  </si>
  <si>
    <t>MJM Marble and Granite</t>
  </si>
  <si>
    <t>Isa Moreta</t>
  </si>
  <si>
    <t>301 1100 J-104, American Fork, UT 84003</t>
  </si>
  <si>
    <t>(410) 972-5688</t>
  </si>
  <si>
    <t>mjmmarbleandgranite@gmail.com</t>
  </si>
  <si>
    <t>Modify Design+Build</t>
  </si>
  <si>
    <t>Riley Welch</t>
  </si>
  <si>
    <t>244 E 100 N, Springville, UT 84663</t>
  </si>
  <si>
    <t>(801) 358-0758</t>
  </si>
  <si>
    <t>riley@modifydb.com</t>
  </si>
  <si>
    <t>Modscapes</t>
  </si>
  <si>
    <t>Craig Garvin</t>
  </si>
  <si>
    <t>72 S 700 E, #2 North, American Fork, UT 84003</t>
  </si>
  <si>
    <t>(385) 233-3444</t>
  </si>
  <si>
    <t>info@modscapes.com</t>
  </si>
  <si>
    <t>MojiLife</t>
  </si>
  <si>
    <t>Alexis Dobson</t>
  </si>
  <si>
    <t>858 N Silverwolf Rd, Elk Ridge, UT 84651</t>
  </si>
  <si>
    <t>(801) 358-0681</t>
  </si>
  <si>
    <t>alexisbdobson@gmail.com</t>
  </si>
  <si>
    <t>Monarch Builders</t>
  </si>
  <si>
    <t>Ross Ford</t>
  </si>
  <si>
    <t>5566 W 10180 N, Highland, UT 84003</t>
  </si>
  <si>
    <t>(801) 756-4799</t>
  </si>
  <si>
    <t>cjirsten@msn.com</t>
  </si>
  <si>
    <t>Montanos Remodeling</t>
  </si>
  <si>
    <t>Juan Montano</t>
  </si>
  <si>
    <t>338 E 220 S, Vineyard, UT 84059</t>
  </si>
  <si>
    <t>(801) 636-0021</t>
  </si>
  <si>
    <t>info@montanoscorp.com</t>
  </si>
  <si>
    <t>Monument Drywall, LLC</t>
  </si>
  <si>
    <t>Jim Hoover</t>
  </si>
  <si>
    <t>539 E 330 S, American Fork, UT 84003</t>
  </si>
  <si>
    <t>(801) 230-7980</t>
  </si>
  <si>
    <t>Jim@MonumentDrywallllc.com</t>
  </si>
  <si>
    <t>Motorized Roller Shades</t>
  </si>
  <si>
    <t>Isaac Beckstead</t>
  </si>
  <si>
    <t>PO Box 836, Draper, UT 84020</t>
  </si>
  <si>
    <t>(801) 381-4928</t>
  </si>
  <si>
    <t>jenny@westwindowtreatments.com</t>
  </si>
  <si>
    <t>Mountain Aire Heating &amp; Cooling</t>
  </si>
  <si>
    <t>Mark D. Nielsen</t>
  </si>
  <si>
    <t>1183 S 1480 W, Orem, UT 84058</t>
  </si>
  <si>
    <t>(801) 226-1180</t>
  </si>
  <si>
    <t>mtaire@digis.net</t>
  </si>
  <si>
    <t>Mountain America Credit Union</t>
  </si>
  <si>
    <t>Jeff Morrison</t>
  </si>
  <si>
    <t>88 N 500 W, Provo, UT 84601</t>
  </si>
  <si>
    <t>(801) 822-5221</t>
  </si>
  <si>
    <t>jmorrison@macu.com</t>
  </si>
  <si>
    <t>Mountain West Interiors</t>
  </si>
  <si>
    <t>Derek Rascon</t>
  </si>
  <si>
    <t>438 W 12300 S, #103, Draper, UT 84020</t>
  </si>
  <si>
    <t>(801) 545-4360</t>
  </si>
  <si>
    <t>admin@mountainwestinteriors.com</t>
  </si>
  <si>
    <t>Mountain West Windows and Doors</t>
  </si>
  <si>
    <t>Layne McCleary</t>
  </si>
  <si>
    <t>9270 S 500 W, #A, Sandy, UT 84070</t>
  </si>
  <si>
    <t>(801) 523-4501</t>
  </si>
  <si>
    <t>McClearyLV@mwwd.com</t>
  </si>
  <si>
    <t>Mountainland Supply Co.</t>
  </si>
  <si>
    <t>Tim White</t>
  </si>
  <si>
    <t>1505 W 130 S, Orem, UT 84058</t>
  </si>
  <si>
    <t>(801) 224-6050</t>
  </si>
  <si>
    <t>tim.white@mountainland.com</t>
  </si>
  <si>
    <t>Mr. Carpet</t>
  </si>
  <si>
    <t>Adam Swalberg</t>
  </si>
  <si>
    <t>325 S Mountainway Dr, Orem, UT 84058</t>
  </si>
  <si>
    <t>(801) 226-3653</t>
  </si>
  <si>
    <t>mrcarpet3@gmail.com</t>
  </si>
  <si>
    <t>Mtn Point Landworks</t>
  </si>
  <si>
    <t>Office</t>
  </si>
  <si>
    <t>8048 S 1460 S, West Jordan, UT 84088</t>
  </si>
  <si>
    <t>(801) 946-0039</t>
  </si>
  <si>
    <t>office@mtnpoint.com</t>
  </si>
  <si>
    <t>Murdock Builders Inc.</t>
  </si>
  <si>
    <t>Cody Pickering</t>
  </si>
  <si>
    <t>1830 E 400 N, Mapleton, UT 84664</t>
  </si>
  <si>
    <t>(801) 420-7997</t>
  </si>
  <si>
    <t>murdockbuildersutah@gmail.com</t>
  </si>
  <si>
    <t>National Flooring Brokers</t>
  </si>
  <si>
    <t>Trenton</t>
  </si>
  <si>
    <t>720 N 1370 W, Orem, UT 84057</t>
  </si>
  <si>
    <t>(801) 722-9479</t>
  </si>
  <si>
    <t>Trenton@nationalflooringbrokers.com</t>
  </si>
  <si>
    <t>National Stone Products</t>
  </si>
  <si>
    <t>Jesse Wright</t>
  </si>
  <si>
    <t>9834 S 300 E, Sandy, UT 84070</t>
  </si>
  <si>
    <t>(801) 520-2749</t>
  </si>
  <si>
    <t>nationalstoneproducts@gmail.com</t>
  </si>
  <si>
    <t>New Cast Stone</t>
  </si>
  <si>
    <t>Mackay Nicolson</t>
  </si>
  <si>
    <t>950 W 150 N, Lindon, UT 84042</t>
  </si>
  <si>
    <t>(801) 822-7654</t>
  </si>
  <si>
    <t>mackay@newcaststone.com</t>
  </si>
  <si>
    <t>New View Design LLC</t>
  </si>
  <si>
    <t>Natalie Bills</t>
  </si>
  <si>
    <t>28 E 100 N, Spanish Fork, UT 84660</t>
  </si>
  <si>
    <t>(385) 539-5057</t>
  </si>
  <si>
    <t>natalie@newviewdesignvr.com</t>
  </si>
  <si>
    <t>Newlife Landscaping</t>
  </si>
  <si>
    <t>Jason Kitchen</t>
  </si>
  <si>
    <t>610 E Center Str, Alpine, UT 84004</t>
  </si>
  <si>
    <t>(801) 888-8497</t>
  </si>
  <si>
    <t>info@newlife-landscaping.com</t>
  </si>
  <si>
    <t>Nicoha</t>
  </si>
  <si>
    <t>Chase Adams</t>
  </si>
  <si>
    <t>494 N 1040 E, Orem, UT 84097</t>
  </si>
  <si>
    <t>(801) 472-0472</t>
  </si>
  <si>
    <t>cadams@nicoha.com</t>
  </si>
  <si>
    <t>Nielsen Contracting</t>
  </si>
  <si>
    <t>Dustin Nielsen</t>
  </si>
  <si>
    <t>2920 S Mullberry Ln, Bldg A, #2, Richfield, UT 84701</t>
  </si>
  <si>
    <t>(435) 289-3459</t>
  </si>
  <si>
    <t>dustin.n.nielsen@gmail.com</t>
  </si>
  <si>
    <t>Noble Plumbing</t>
  </si>
  <si>
    <t>Garrett Noble</t>
  </si>
  <si>
    <t>1618 N Geneva Rd, Provo, UT 84601</t>
  </si>
  <si>
    <t>(385) 204-2793</t>
  </si>
  <si>
    <t>garrettwadenoble@gmail.com</t>
  </si>
  <si>
    <t>Northpoint Homes</t>
  </si>
  <si>
    <t>Tyson Kidd</t>
  </si>
  <si>
    <t>(801) 338-3806</t>
  </si>
  <si>
    <t>tyson@buildnp.com</t>
  </si>
  <si>
    <t>Nova Vista Properties LLC</t>
  </si>
  <si>
    <t>Simon Kirschman</t>
  </si>
  <si>
    <t>345 S Summit Creek Dr, Woodland Hills, UT 84653</t>
  </si>
  <si>
    <t>(435) 999-0478</t>
  </si>
  <si>
    <t>Simon@Novavistaproperties.com</t>
  </si>
  <si>
    <t>NuAcoustics</t>
  </si>
  <si>
    <t>449 Sandbar Way, Spanish Fork, UT 84660</t>
  </si>
  <si>
    <t>(801) 400-7255</t>
  </si>
  <si>
    <t>nuacoustics@gmail.com</t>
  </si>
  <si>
    <t>NuWater Technologies</t>
  </si>
  <si>
    <t>Rod Hadean</t>
  </si>
  <si>
    <t>12067 S Aiden Ridge Dr, Draper, UT 84020</t>
  </si>
  <si>
    <t>(385) 462-8363</t>
  </si>
  <si>
    <t>rod@nuwatertec.com</t>
  </si>
  <si>
    <t>Oakwood Homes of Utah</t>
  </si>
  <si>
    <t>Chris Marino</t>
  </si>
  <si>
    <t>206 E Winchester St, Murray, UT 84107</t>
  </si>
  <si>
    <t>(801) 270-6400</t>
  </si>
  <si>
    <t>cmarino@oakwoodhomesco.com</t>
  </si>
  <si>
    <t>Ogden's Flooring &amp; Design - Lehi</t>
  </si>
  <si>
    <t>Chase Lefler</t>
  </si>
  <si>
    <t>36 S 200 W, Lehi, UT 84043</t>
  </si>
  <si>
    <t>(801) 602-0761</t>
  </si>
  <si>
    <t>chase@ogdensflooring.com</t>
  </si>
  <si>
    <t>Old Mill Building Products</t>
  </si>
  <si>
    <t>Kirk Harris</t>
  </si>
  <si>
    <t>42 E 1100 S, #6, American Fork, UT 84003</t>
  </si>
  <si>
    <t>(385) 224-6521</t>
  </si>
  <si>
    <t>kirkh@oldmillbp.com</t>
  </si>
  <si>
    <t>Old Republic Title</t>
  </si>
  <si>
    <t>Scott Morgan</t>
  </si>
  <si>
    <t>[No full address]</t>
  </si>
  <si>
    <t>[No phone]</t>
  </si>
  <si>
    <t>samorgan@oldrepublictitle.com</t>
  </si>
  <si>
    <t>Old World Stone Imports</t>
  </si>
  <si>
    <t>Skyler Berry</t>
  </si>
  <si>
    <t>1514 W 400 S, Orem, UT 84058</t>
  </si>
  <si>
    <t>(801) 431-0137</t>
  </si>
  <si>
    <t>karenw@owsiusa.com</t>
  </si>
  <si>
    <t>On the Grid Electric</t>
  </si>
  <si>
    <t>Jeff Woerner</t>
  </si>
  <si>
    <t>PO Box 901, Spanish Fork, UT 84660</t>
  </si>
  <si>
    <t>(801) 420-3198</t>
  </si>
  <si>
    <t>Onthegridelectric@gmail.com</t>
  </si>
  <si>
    <t>One Oak Construction</t>
  </si>
  <si>
    <t>Richard Eklof</t>
  </si>
  <si>
    <t>453 S 230 W, Lehi, UT 84043</t>
  </si>
  <si>
    <t>(801) 850-3160</t>
  </si>
  <si>
    <t>richard@oneoakconstructionutah.com</t>
  </si>
  <si>
    <t>One Stop Roofing</t>
  </si>
  <si>
    <t>Alex Lopez</t>
  </si>
  <si>
    <t>925 W 2100 N, Provo, UT 84604</t>
  </si>
  <si>
    <t>(385) 271-8334</t>
  </si>
  <si>
    <t>onestoproofing22@gmail.com</t>
  </si>
  <si>
    <t>Onyx Design Collective</t>
  </si>
  <si>
    <t>Kinley Puzey</t>
  </si>
  <si>
    <t>186 N 100 E, #A, Kaysville, UT 84037</t>
  </si>
  <si>
    <t>(801) 699-7801</t>
  </si>
  <si>
    <t>kinley@onyxdesigncollective.com</t>
  </si>
  <si>
    <t>Osmond Designs, Inc.</t>
  </si>
  <si>
    <t>Heather Osmond</t>
  </si>
  <si>
    <t>1660 N State St, Orem, UT 84057</t>
  </si>
  <si>
    <t>(801) 766-6448</t>
  </si>
  <si>
    <t>heather@osmonddesigns.com</t>
  </si>
  <si>
    <t>Ox Glass LLC</t>
  </si>
  <si>
    <t>Brady Williams</t>
  </si>
  <si>
    <t>2764 E Ranch Rd, Eagle Mountain, UT 84005</t>
  </si>
  <si>
    <t>(801) 404-7942</t>
  </si>
  <si>
    <t>brady@ox-glass.com</t>
  </si>
  <si>
    <t>P3 Windows and Doors</t>
  </si>
  <si>
    <t>Michael Garlick</t>
  </si>
  <si>
    <t>4212 N Forestdale Dr, #100, Park City, UT 84098</t>
  </si>
  <si>
    <t>(801) 634-1718</t>
  </si>
  <si>
    <t>scott@p3windows.com</t>
  </si>
  <si>
    <t>Page Drafting and Design</t>
  </si>
  <si>
    <t>Doug Page</t>
  </si>
  <si>
    <t>7787 Crestwood Cir, Eagle Mountain, UT 84005</t>
  </si>
  <si>
    <t>(801) 360-6575</t>
  </si>
  <si>
    <t>edoug.page@gmail.com</t>
  </si>
  <si>
    <t>Paice Electric</t>
  </si>
  <si>
    <t>Scott Paice</t>
  </si>
  <si>
    <t>1638 Mountain View Dr, Spanish Fork, UT 84660</t>
  </si>
  <si>
    <t>(801) 874-9302</t>
  </si>
  <si>
    <t>ascottpaice@gmail.com</t>
  </si>
  <si>
    <t>PaperPie</t>
  </si>
  <si>
    <t>Shauna Zollinger</t>
  </si>
  <si>
    <t>1154 E 720 N, Orem, UT 84097</t>
  </si>
  <si>
    <t>(801) 426-9923</t>
  </si>
  <si>
    <t>info@bestbrainbooks.com</t>
  </si>
  <si>
    <t>Paradise Pools</t>
  </si>
  <si>
    <t>Jason Lott</t>
  </si>
  <si>
    <t>72 S 700 E, #IN, American Fork, UT 84003</t>
  </si>
  <si>
    <t>(801) 796-7665</t>
  </si>
  <si>
    <t>info@paradisepoolsutah.com</t>
  </si>
  <si>
    <t>Paramount Plumbing, LLC</t>
  </si>
  <si>
    <t>Jay Palmer</t>
  </si>
  <si>
    <t>1296 E Wheatland Dr, Eagle Mountain, UT 84005</t>
  </si>
  <si>
    <t>(801) 420-0754</t>
  </si>
  <si>
    <t>paramountplumbing72@gmail.com</t>
  </si>
  <si>
    <t>Park City Blind &amp; Design</t>
  </si>
  <si>
    <t>Meredith Lee</t>
  </si>
  <si>
    <t>1612 E Ute Blvd, #109, Park City, UT 84098</t>
  </si>
  <si>
    <t>(435) 469-9665</t>
  </si>
  <si>
    <t>meredith@parkcityblind.com</t>
  </si>
  <si>
    <t>Parrish Construction Company</t>
  </si>
  <si>
    <t>Tyler Parrish</t>
  </si>
  <si>
    <t>1265 E 300 N, American Fork, UT 84003</t>
  </si>
  <si>
    <t>(801) 787-3633</t>
  </si>
  <si>
    <t>cap_tone@yahoo.com</t>
  </si>
  <si>
    <t>Paskett Architectural Finish Carpentry</t>
  </si>
  <si>
    <t>Chad Paskett</t>
  </si>
  <si>
    <t>8850 S 700 E, #1176, Sandy, UT 84091</t>
  </si>
  <si>
    <t>(801) 898-1550</t>
  </si>
  <si>
    <t>paskettconstruction@hotmail.com</t>
  </si>
  <si>
    <t>Patterson Homes, LLC</t>
  </si>
  <si>
    <t>Tami Hoyt</t>
  </si>
  <si>
    <t>11038 N Highland Blvd, #100, Highland, UT 84003</t>
  </si>
  <si>
    <t>(801) 756-7303</t>
  </si>
  <si>
    <t>ssdunn@pattersonhomes.com</t>
  </si>
  <si>
    <t>Paul M. Magleby Construction Inc</t>
  </si>
  <si>
    <t>Krystofer Gardner</t>
  </si>
  <si>
    <t>PO Box 990, Pleasant Grove, UT 84062</t>
  </si>
  <si>
    <t>pmagleby@maglebyconstruction.com</t>
  </si>
  <si>
    <t>Peak Closets</t>
  </si>
  <si>
    <t>Roberts Ferrara</t>
  </si>
  <si>
    <t>7533 S Center View Ct, #4504, West Jordan, UT 84084</t>
  </si>
  <si>
    <t>(951) 315-6229</t>
  </si>
  <si>
    <t>robert.ferrara@peakclosets.com</t>
  </si>
  <si>
    <t>Pella Windows &amp; Doors of Utah</t>
  </si>
  <si>
    <t>Matt Rupert</t>
  </si>
  <si>
    <t>650 S 500 W, Salt Lake City, UT 84101</t>
  </si>
  <si>
    <t>(303) 968-0200</t>
  </si>
  <si>
    <t>cseifert@pellawd.com</t>
  </si>
  <si>
    <t>Pendleton Landscape, LLC</t>
  </si>
  <si>
    <t>Camille Armstrong</t>
  </si>
  <si>
    <t>1656 Red Tree Ct, Draper, UT 84020</t>
  </si>
  <si>
    <t>(801) 859-7152</t>
  </si>
  <si>
    <t>office@pendletonlandscape.com</t>
  </si>
  <si>
    <t>Performance Painting Company</t>
  </si>
  <si>
    <t>Scott Holyoak</t>
  </si>
  <si>
    <t>1396 W 200 S, #2D, Lindon, UT 84042</t>
  </si>
  <si>
    <t>(801) 785-0530</t>
  </si>
  <si>
    <t>stefini@ppcutah.com</t>
  </si>
  <si>
    <t>Petersen Painting</t>
  </si>
  <si>
    <t>Joel Petersen</t>
  </si>
  <si>
    <t>PO Box 298, Lehi, UT 84043</t>
  </si>
  <si>
    <t>(801) 766-6685</t>
  </si>
  <si>
    <t>joel@petersenpainting.net</t>
  </si>
  <si>
    <t>Peterson Plumbing Supply</t>
  </si>
  <si>
    <t>Keri Scoresby</t>
  </si>
  <si>
    <t>1036 N 1430 W, Orem, UT 84057</t>
  </si>
  <si>
    <t>(801) 434-9700</t>
  </si>
  <si>
    <t>colton@petersonplumbingsupply.com</t>
  </si>
  <si>
    <t>Peterson Woodworks</t>
  </si>
  <si>
    <t>Jon Peterson</t>
  </si>
  <si>
    <t>923 W 500 N, Lindon, UT 84042</t>
  </si>
  <si>
    <t>(801) 785-3990</t>
  </si>
  <si>
    <t>Jon@Petersonwoodworks.com</t>
  </si>
  <si>
    <t>Petra Group</t>
  </si>
  <si>
    <t>Tanner Turville</t>
  </si>
  <si>
    <t>2340 S 3270 W, West Valley City, UT 84119</t>
  </si>
  <si>
    <t>(801) 486-1700</t>
  </si>
  <si>
    <t>tanner@petragroup.com</t>
  </si>
  <si>
    <t>Pine River Construction</t>
  </si>
  <si>
    <t>Robert Price</t>
  </si>
  <si>
    <t>10567 N Aberdeen Ln, Highland, UT 84003</t>
  </si>
  <si>
    <t>(801) 872-7099</t>
  </si>
  <si>
    <t>pineriverco.utah@gmail.com</t>
  </si>
  <si>
    <t>PlanRadar</t>
  </si>
  <si>
    <t>Meg Noonan</t>
  </si>
  <si>
    <t>26 S Rio Grand, #2072, Salt Lake City, UT 84101</t>
  </si>
  <si>
    <t>(801) 310-8061</t>
  </si>
  <si>
    <t>m.noonan@planradar.com</t>
  </si>
  <si>
    <t>Ponds Plumbing, Heating &amp; Radiant</t>
  </si>
  <si>
    <t>Jeff Park</t>
  </si>
  <si>
    <t>189 N Hwy 89, North Salt Lake, UT 84054</t>
  </si>
  <si>
    <t>(801) 295-7989</t>
  </si>
  <si>
    <t>jeff@pondsutah.com</t>
  </si>
  <si>
    <t>Popshot Drilling, LLC</t>
  </si>
  <si>
    <t>Sade Christensen</t>
  </si>
  <si>
    <t>PO Box 562, Salem, UT 84653</t>
  </si>
  <si>
    <t>(385) 450-1356</t>
  </si>
  <si>
    <t>sade.popshot@icloud.com</t>
  </si>
  <si>
    <t>Powell Garage Doors</t>
  </si>
  <si>
    <t>Chris Powell</t>
  </si>
  <si>
    <t>10006 N 6000 W, Highland, UT 84003</t>
  </si>
  <si>
    <t>(801) 822-2474</t>
  </si>
  <si>
    <t>cpowellgaragedoors@gmail.com</t>
  </si>
  <si>
    <t>Power Mule Inc.</t>
  </si>
  <si>
    <t>Joe Jessop</t>
  </si>
  <si>
    <t>8583 N Peppergrass Dr, Eagle Mountain, UT 84005</t>
  </si>
  <si>
    <t>(801) 573-3334</t>
  </si>
  <si>
    <t>powermule@yahoo.com</t>
  </si>
  <si>
    <t>PowerHouse Electric Inc</t>
  </si>
  <si>
    <t>Jamie Stephens</t>
  </si>
  <si>
    <t>930 N 1610 W, #B, Orem, UT 84057</t>
  </si>
  <si>
    <t>(801) 226-7897</t>
  </si>
  <si>
    <t>office@powerhouseutah.com</t>
  </si>
  <si>
    <t>Precision Finish Carpentry</t>
  </si>
  <si>
    <t>Fred Hermansen</t>
  </si>
  <si>
    <t>PO Box 11, Mona, UT 84645</t>
  </si>
  <si>
    <t>(801) 367-8257</t>
  </si>
  <si>
    <t>fred8257@gmail.com</t>
  </si>
  <si>
    <t>Precision Homes LLC</t>
  </si>
  <si>
    <t>Migel Herrera</t>
  </si>
  <si>
    <t>22 W Clay Park Dr, Murray, UT 84107</t>
  </si>
  <si>
    <t>(801) 516-9825</t>
  </si>
  <si>
    <t>precisionhomesint@gmail.com</t>
  </si>
  <si>
    <t>Precision Homes and Design</t>
  </si>
  <si>
    <t>LeeRen Ray</t>
  </si>
  <si>
    <t>1471 W 1200 N, Mapleton, UT 84664</t>
  </si>
  <si>
    <t>(801) 380-6885</t>
  </si>
  <si>
    <t>leeren@precisionhd.biz</t>
  </si>
  <si>
    <t>Precision Woodworking, Inc.</t>
  </si>
  <si>
    <t>David Einerson</t>
  </si>
  <si>
    <t>914 N 900 E, Pleasant Grove, UT 84062</t>
  </si>
  <si>
    <t>(801) 785-3527</t>
  </si>
  <si>
    <t>einerson4@msn.com</t>
  </si>
  <si>
    <t>Premier Building Supply</t>
  </si>
  <si>
    <t>1060 S 500 E, American Fork, UT 84003</t>
  </si>
  <si>
    <t>(801) 492-1200</t>
  </si>
  <si>
    <t>Premier Drywall Inc</t>
  </si>
  <si>
    <t>Ryan Laidlaw</t>
  </si>
  <si>
    <t>338 S 671 W, Pleasant Grove, UT 84062</t>
  </si>
  <si>
    <t>(801) 602-7496</t>
  </si>
  <si>
    <t>randi@premierdrywallinc.com</t>
  </si>
  <si>
    <t>Premier Painting Inc.</t>
  </si>
  <si>
    <t>Kurt Merrill</t>
  </si>
  <si>
    <t>1382 N Narra Pl, Pleasant Grove, UT 84062</t>
  </si>
  <si>
    <t>(801) 400-0529</t>
  </si>
  <si>
    <t>premierpaintinginc@yahoo.com</t>
  </si>
  <si>
    <t>Premier Pools and Spas</t>
  </si>
  <si>
    <t>William Bradford</t>
  </si>
  <si>
    <t>376 N 2810 E, Spanish Fork, UT 84660</t>
  </si>
  <si>
    <t>(801) 903-3101</t>
  </si>
  <si>
    <t>wbradford@ppas.com</t>
  </si>
  <si>
    <t>Premier Rock Wall &amp; Excavating</t>
  </si>
  <si>
    <t>Necole Hammond</t>
  </si>
  <si>
    <t>1286 S 175 E, Nephi, UT 84648</t>
  </si>
  <si>
    <t>(801) 358-3841</t>
  </si>
  <si>
    <t>premierrockwallsutah@gmail.com</t>
  </si>
  <si>
    <t>Premier Tech Partners</t>
  </si>
  <si>
    <t>David Maughan</t>
  </si>
  <si>
    <t>11456 S Temple Dr, 3rd Flr, South Jordan, UT 84095</t>
  </si>
  <si>
    <t>(801) 205-4427</t>
  </si>
  <si>
    <t>dmaughan@premiertechpartner.com</t>
  </si>
  <si>
    <t>Premium Surface Solutions</t>
  </si>
  <si>
    <t>Jacob Cooper</t>
  </si>
  <si>
    <t>1408 S 1080 W, Payson, UT 84651</t>
  </si>
  <si>
    <t>(801) 865-1934</t>
  </si>
  <si>
    <t>office@premiumsurfacesolutions.com</t>
  </si>
  <si>
    <t>Prism Paint &amp; Supply</t>
  </si>
  <si>
    <t>Kevin Oakeson</t>
  </si>
  <si>
    <t>770 S 850 E, #3, Lehi, UT 84043</t>
  </si>
  <si>
    <t>(385) 831-5129</t>
  </si>
  <si>
    <t>kevin@prismpaintutah.com</t>
  </si>
  <si>
    <t>Pro Elements LLC</t>
  </si>
  <si>
    <t>Russ Rowley</t>
  </si>
  <si>
    <t>5285 N Honey Suckle Way, Eagle Mountain, UT 84005</t>
  </si>
  <si>
    <t>(801) 885-1370</t>
  </si>
  <si>
    <t>Proelementsllc@gmail.com</t>
  </si>
  <si>
    <t>Pro Excavating and Grading LLC</t>
  </si>
  <si>
    <t>Jose Martinez</t>
  </si>
  <si>
    <t>1944 N Elderberry Dr, Saratoga Springs, UT 84045</t>
  </si>
  <si>
    <t>(385) 313-6663</t>
  </si>
  <si>
    <t>proexcavating.grading@gmail.com</t>
  </si>
  <si>
    <t>Pro Utah Remodeling</t>
  </si>
  <si>
    <t>Vinicius Mala Silveira</t>
  </si>
  <si>
    <t>5107 N Marble Fox Way, Lehi, UT 84043</t>
  </si>
  <si>
    <t>(801) 432-0870</t>
  </si>
  <si>
    <t>vinny@proutahremodeling.com</t>
  </si>
  <si>
    <t>Pro-Title &amp; Escrow Inc.</t>
  </si>
  <si>
    <t>David Bate</t>
  </si>
  <si>
    <t>101 N University Ave, Provo, UT 84601</t>
  </si>
  <si>
    <t>(801) 375-0026</t>
  </si>
  <si>
    <t>dbate@pro-title.com</t>
  </si>
  <si>
    <t>Process Partners</t>
  </si>
  <si>
    <t>Angie Bristow</t>
  </si>
  <si>
    <t>3369 Cherokee Lane, Provo, UT 84604</t>
  </si>
  <si>
    <t>(801) 477-0195</t>
  </si>
  <si>
    <t>info@processpartners.biz</t>
  </si>
  <si>
    <t>Progressive Power Solutions Inc</t>
  </si>
  <si>
    <t>Norman Harrison</t>
  </si>
  <si>
    <t>350 S 900 E, Orem, UT 84097</t>
  </si>
  <si>
    <t>(801) 367-9536</t>
  </si>
  <si>
    <t>norman@ppswest.com</t>
  </si>
  <si>
    <t>Prominence Natural Stone, LLC</t>
  </si>
  <si>
    <t>Kyle Lang</t>
  </si>
  <si>
    <t>2230 N University Prkwy Blvd, #7E, Provo, UT 84604</t>
  </si>
  <si>
    <t>(801) 472-3679</t>
  </si>
  <si>
    <t>prominencenaturalstone@gmail.com</t>
  </si>
  <si>
    <t>QB Construction, LLC</t>
  </si>
  <si>
    <t>Quinn Bezzant</t>
  </si>
  <si>
    <t>485 N 400 E, Lindon, UT 84042</t>
  </si>
  <si>
    <t>(801) 404-3309</t>
  </si>
  <si>
    <t>qbconstruction84@gmail.com</t>
  </si>
  <si>
    <t>Quality Craft Wood Works</t>
  </si>
  <si>
    <t>Marvin L Allred</t>
  </si>
  <si>
    <t>267 N Lark Ridge Dr, Rocky Ridge, UT 84645</t>
  </si>
  <si>
    <t>(435) 623-1707</t>
  </si>
  <si>
    <t>marvin.l.allred@gmail.com</t>
  </si>
  <si>
    <t>Quality Custom Homes</t>
  </si>
  <si>
    <t>Brent Sevy</t>
  </si>
  <si>
    <t>1773 E 1600 N, Spanish Fork, UT 84660</t>
  </si>
  <si>
    <t>(385) 204-1871</t>
  </si>
  <si>
    <t>Qualitycustomhomesut@gmail.com</t>
  </si>
  <si>
    <t>Quality Powder Coating</t>
  </si>
  <si>
    <t>Kari Barber</t>
  </si>
  <si>
    <t>812 E 1950 N, Spanish Fork, UT 84660</t>
  </si>
  <si>
    <t>(801) 794-1816</t>
  </si>
  <si>
    <t>qpcutah@gmail.com</t>
  </si>
  <si>
    <t>Quality Pro Coatings</t>
  </si>
  <si>
    <t>Jake Fairbanks</t>
  </si>
  <si>
    <t>1330 W 7900 S, Rear Building, West Jordan, UT 84088</t>
  </si>
  <si>
    <t>(801) 255-7710</t>
  </si>
  <si>
    <t>office@qualityprocoatings.com</t>
  </si>
  <si>
    <t>QW Design, LLC</t>
  </si>
  <si>
    <t>Quinn Wheeler</t>
  </si>
  <si>
    <t>151 S State, #1509, Salt Lake City, UT 84111</t>
  </si>
  <si>
    <t>(801) 699-8710</t>
  </si>
  <si>
    <t>quinn@qwdesign.com</t>
  </si>
  <si>
    <t>R &amp; M Woods Inc.</t>
  </si>
  <si>
    <t>Mark Atkin</t>
  </si>
  <si>
    <t>747 E 1870 N, Orem, UT 84097</t>
  </si>
  <si>
    <t>(801) 226-2214</t>
  </si>
  <si>
    <t>mauibuilt1960@aol.com</t>
  </si>
  <si>
    <t>R.C. Dent</t>
  </si>
  <si>
    <t>Brian Mortenson</t>
  </si>
  <si>
    <t>1385 W 400 N, Orem, UT 84057</t>
  </si>
  <si>
    <t>(801) 616-3055</t>
  </si>
  <si>
    <t>rodentconst@yahoo.com</t>
  </si>
  <si>
    <t>R.J. Lewis, Inc.</t>
  </si>
  <si>
    <t>Richard W. Lewis</t>
  </si>
  <si>
    <t>922 E 1300 N, Mapleton, UT 84664</t>
  </si>
  <si>
    <t>(801) 592-1168</t>
  </si>
  <si>
    <t>rich@rjlewisinc.com</t>
  </si>
  <si>
    <t>R.O.A. Construction LLC</t>
  </si>
  <si>
    <t>Oscar Garcia</t>
  </si>
  <si>
    <t>650 W 120 N, Orem, UT 84057</t>
  </si>
  <si>
    <t>(801) 885-5248</t>
  </si>
  <si>
    <t>roaconstruction2019@gmail.com</t>
  </si>
  <si>
    <t>R5 Homes</t>
  </si>
  <si>
    <t>Sam Rafati</t>
  </si>
  <si>
    <t>PO Box 712088, Salt Lake City, UT 84171</t>
  </si>
  <si>
    <t>(801) 580-9277</t>
  </si>
  <si>
    <t>sam@r5homes.net</t>
  </si>
  <si>
    <t>Rad Concrete Coatings</t>
  </si>
  <si>
    <t>Mike Ash</t>
  </si>
  <si>
    <t>13079 Summerharvest Dr, Draper, UT 84020</t>
  </si>
  <si>
    <t>(801) 953-7673</t>
  </si>
  <si>
    <t>mike@radutah.com</t>
  </si>
  <si>
    <t>Rainbow Restoration of Orem</t>
  </si>
  <si>
    <t>Truman Jeppson</t>
  </si>
  <si>
    <t>270 S Mountainland Dr, #1A, Orem, UT 84058</t>
  </si>
  <si>
    <t>(801) 462-6867</t>
  </si>
  <si>
    <t>truman.jeppson@rainbowrestores.com</t>
  </si>
  <si>
    <t>Rainey Homes</t>
  </si>
  <si>
    <t>Justin Taylor</t>
  </si>
  <si>
    <t>259 E 500 S, Bountiful, UT 84010</t>
  </si>
  <si>
    <t>(801) 927-3000</t>
  </si>
  <si>
    <t>justin.taylor@raineyhomes.com</t>
  </si>
  <si>
    <t>Rasband Custom Homes</t>
  </si>
  <si>
    <t>Andrew Rasband</t>
  </si>
  <si>
    <t>501 W 1060 N, American Fork, UT 84003</t>
  </si>
  <si>
    <t>(801) 616-1599</t>
  </si>
  <si>
    <t>rasbanda@gmail.com</t>
  </si>
  <si>
    <t>Raven Summit Mechanical</t>
  </si>
  <si>
    <t>Zachary X</t>
  </si>
  <si>
    <t>250 W 400 N, Santaquin, UT 84059</t>
  </si>
  <si>
    <t>(435) 799-1285</t>
  </si>
  <si>
    <t>ravensummitco@gmail.com</t>
  </si>
  <si>
    <t>Raykon Construction</t>
  </si>
  <si>
    <t>Casey Cloward</t>
  </si>
  <si>
    <t>1109 Harvest Ridge Dr, Salem, UT 84653</t>
  </si>
  <si>
    <t>(801) 691-8957</t>
  </si>
  <si>
    <t>casey@raykonconstruction.com</t>
  </si>
  <si>
    <t>RB Construction</t>
  </si>
  <si>
    <t>Bert Bradford</t>
  </si>
  <si>
    <t>727 S Main, Spanish Fork, UT 84660</t>
  </si>
  <si>
    <t>(801) 794-1330</t>
  </si>
  <si>
    <t>bertbradford@gmail.com</t>
  </si>
  <si>
    <t>RC Dixon Framing LLC</t>
  </si>
  <si>
    <t>Troy Wilson</t>
  </si>
  <si>
    <t>1163 W 820 N, Provo, UT 84601</t>
  </si>
  <si>
    <t>(801) 809-1898</t>
  </si>
  <si>
    <t>office@psiutahsteel.com</t>
  </si>
  <si>
    <t>RC Willey Home Furnishings</t>
  </si>
  <si>
    <t>Larry Smalley</t>
  </si>
  <si>
    <t>693 E University Pkwy, Orem, UT 84097</t>
  </si>
  <si>
    <t>(801) 461-3933</t>
  </si>
  <si>
    <t>larry.smalley@rcwilley.com</t>
  </si>
  <si>
    <t>Ready Made Trusses &amp; Builders' Supply</t>
  </si>
  <si>
    <t>Cory Olsen</t>
  </si>
  <si>
    <t>5367 W 4700 S, Salt Lake City, UT 84118</t>
  </si>
  <si>
    <t>(801) 419-2677</t>
  </si>
  <si>
    <t>coryo@rmbs.us</t>
  </si>
  <si>
    <t>Real Advantage Title</t>
  </si>
  <si>
    <t>Korbi Craghead</t>
  </si>
  <si>
    <t>595 S 240 E, Salem, UT 84653</t>
  </si>
  <si>
    <t>(801) 701-0863</t>
  </si>
  <si>
    <t>twollebaek@gmail.com</t>
  </si>
  <si>
    <t>RED Technology Group</t>
  </si>
  <si>
    <t>Kirk MacKay</t>
  </si>
  <si>
    <t>2374 S West Temple, Salt Lake City, UT 84115</t>
  </si>
  <si>
    <t>(801) 448-7370</t>
  </si>
  <si>
    <t>kirk@redgrp.com</t>
  </si>
  <si>
    <t>Red Fox Furnishings</t>
  </si>
  <si>
    <t>Bert Verzello</t>
  </si>
  <si>
    <t>1467 N State St, Provo, UT 84604</t>
  </si>
  <si>
    <t>(801) 228-9090</t>
  </si>
  <si>
    <t>bert@redfoxfurnishings.com</t>
  </si>
  <si>
    <t>Red Peaks Roofing</t>
  </si>
  <si>
    <t>Tig Brown</t>
  </si>
  <si>
    <t>1597 Parkway Court, Saratoga Springs, UT 84045</t>
  </si>
  <si>
    <t>(385) 482-9707</t>
  </si>
  <si>
    <t>tig@redpeaksroofing.com</t>
  </si>
  <si>
    <t>Redwood Engineering, Inc.</t>
  </si>
  <si>
    <t>David Ploeger</t>
  </si>
  <si>
    <t>291 E 950 S, Orem, UT 84058</t>
  </si>
  <si>
    <t>(801) 426-6500</t>
  </si>
  <si>
    <t>dave@redwoodeng.com</t>
  </si>
  <si>
    <t>Reed's Built-ins</t>
  </si>
  <si>
    <t>Reed Snarr</t>
  </si>
  <si>
    <t>795 Columbia Ln, Provo, UT 84604</t>
  </si>
  <si>
    <t>(801) 375-4919</t>
  </si>
  <si>
    <t>reed@reedsbuiltins.com</t>
  </si>
  <si>
    <t>Relic Agency</t>
  </si>
  <si>
    <t>Adam Stoker</t>
  </si>
  <si>
    <t>333 W 2230 N, #200, Provo, UT 84604</t>
  </si>
  <si>
    <t>(801) 692-7345</t>
  </si>
  <si>
    <t>adam@relicagency.com</t>
  </si>
  <si>
    <t>Remedy Design Firm</t>
  </si>
  <si>
    <t>Stacy Andersen</t>
  </si>
  <si>
    <t>644 S Main St, #C, Springville, UT 84663</t>
  </si>
  <si>
    <t>(801) 822-3579</t>
  </si>
  <si>
    <t>jessica@remedy2design.com</t>
  </si>
  <si>
    <t>Remington Builders</t>
  </si>
  <si>
    <t>Jessica Remington</t>
  </si>
  <si>
    <t>2239 E Unity Way, Eagle Mountain, UT 84005</t>
  </si>
  <si>
    <t>(801) 995-2639</t>
  </si>
  <si>
    <t>kremingtonbuilders@gmail.com</t>
  </si>
  <si>
    <t>Rentmeister Electric</t>
  </si>
  <si>
    <t>Brian Rentmeister</t>
  </si>
  <si>
    <t>7751 S 5360 W, West Jordan, UT 84081</t>
  </si>
  <si>
    <t>(801) 808-4001</t>
  </si>
  <si>
    <t>brianrentmeister@gmail.com</t>
  </si>
  <si>
    <t>Reset Your Nest</t>
  </si>
  <si>
    <t>Jennifer Martin</t>
  </si>
  <si>
    <t>8676 Scotia Ln, Sandy, UT 84093</t>
  </si>
  <si>
    <t>(801) 372-4530</t>
  </si>
  <si>
    <t>info@resetyournest.com</t>
  </si>
  <si>
    <t>Residential Warranty Company</t>
  </si>
  <si>
    <t>Sarah James</t>
  </si>
  <si>
    <t>5300 Derry St, Harrisburg, PA 17111</t>
  </si>
  <si>
    <t>(717) 561-4480</t>
  </si>
  <si>
    <t>info@rwcwarranty.com</t>
  </si>
  <si>
    <t>RGS Exteriors and Construction</t>
  </si>
  <si>
    <t>Tim Brown</t>
  </si>
  <si>
    <t>4235 Farm Rd, #100, West Jordan, UT 84088</t>
  </si>
  <si>
    <t>(801) 557-9875</t>
  </si>
  <si>
    <t>timjr@RgsExteriors.com</t>
  </si>
  <si>
    <t>RhinoRock Concrete Fencing</t>
  </si>
  <si>
    <t>Brian Morrow</t>
  </si>
  <si>
    <t>accounting@rhinorock.com</t>
  </si>
  <si>
    <t>Rino Excavating LLC</t>
  </si>
  <si>
    <t>Rising Steel Fabrication</t>
  </si>
  <si>
    <t>Dave Langston</t>
  </si>
  <si>
    <t>1483 N 250 W, Lehi, UT 84043</t>
  </si>
  <si>
    <t>(801) 318-7112</t>
  </si>
  <si>
    <t>Dave@risingsteelfabrication.com</t>
  </si>
  <si>
    <t>River Hawk Co</t>
  </si>
  <si>
    <t>Keigan Smith</t>
  </si>
  <si>
    <t>382 N Center, Moroni, UT 84646</t>
  </si>
  <si>
    <t>(801) 494-4332</t>
  </si>
  <si>
    <t>riverhawkkeigan@gmail.com</t>
  </si>
  <si>
    <t>RL Henrie Custom Cabinetry</t>
  </si>
  <si>
    <t>Richard Henrie</t>
  </si>
  <si>
    <t>471 E 570 N, Orem, UT 84097</t>
  </si>
  <si>
    <t>(801) 368-9944</t>
  </si>
  <si>
    <t>rthenrie@gmail.com</t>
  </si>
  <si>
    <t>RNR Construction</t>
  </si>
  <si>
    <t>Wesley Reneer</t>
  </si>
  <si>
    <t>1675 N Freedom Blvd, Bld 2, #4, Orem, UT 84604</t>
  </si>
  <si>
    <t>(801) 901-0543</t>
  </si>
  <si>
    <t>rnrconstruction.ut@gmail.com</t>
  </si>
  <si>
    <t>Rob Terry Cabinets LLC</t>
  </si>
  <si>
    <t>Robert S Terry</t>
  </si>
  <si>
    <t>1550 S 1700 W, Springville, UT 84663</t>
  </si>
  <si>
    <t>(801) 489-6998</t>
  </si>
  <si>
    <t>lashanda@robterrycabinets.com</t>
  </si>
  <si>
    <t>Robert Nelson Construction</t>
  </si>
  <si>
    <t>Robert C Nelson</t>
  </si>
  <si>
    <t>405 W S State Rd, #198, Salem, UT 84653</t>
  </si>
  <si>
    <t>(801) 423-1141</t>
  </si>
  <si>
    <t>robert@robertnelsonconstruction.com</t>
  </si>
  <si>
    <t>Robison Build Co. Inc.</t>
  </si>
  <si>
    <t>Kory W Robison</t>
  </si>
  <si>
    <t>1118 N 1300 W, Orem, UT 84057</t>
  </si>
  <si>
    <t>(801) 358-3248</t>
  </si>
  <si>
    <t>kory@robisonbuildco.com</t>
  </si>
  <si>
    <t>Rock Solid Granite</t>
  </si>
  <si>
    <t>Elsa Gonzalez</t>
  </si>
  <si>
    <t>1161 W 780 N, Orem, UT 84057</t>
  </si>
  <si>
    <t>(801) 225-0812</t>
  </si>
  <si>
    <t>jorgerooksolidgranite@gmail.com</t>
  </si>
  <si>
    <t>Rock Solid Roofing</t>
  </si>
  <si>
    <t>Rick Oss</t>
  </si>
  <si>
    <t>PO Box 539, Lehi, UT 84043</t>
  </si>
  <si>
    <t>(801) 631-6094</t>
  </si>
  <si>
    <t>rocksolidroofing@mail.com</t>
  </si>
  <si>
    <t>Rockwell LLC</t>
  </si>
  <si>
    <t>Anthony Oliver</t>
  </si>
  <si>
    <t>786 W 1200 N, #5, Springville, UT 84663</t>
  </si>
  <si>
    <t>(801) 396-7020</t>
  </si>
  <si>
    <t>anthony@rockwellinc.com</t>
  </si>
  <si>
    <t>Rocks &amp; Stuff LLC</t>
  </si>
  <si>
    <t>Aaron Brinkerhoff</t>
  </si>
  <si>
    <t>1294 S 420 W, Salem, UT 84653</t>
  </si>
  <si>
    <t>(801) 636-5667</t>
  </si>
  <si>
    <t>rickoss9567@gmail.com</t>
  </si>
  <si>
    <t>Rocky Mountain Waterproofing</t>
  </si>
  <si>
    <t>Christopher Douglas</t>
  </si>
  <si>
    <t>8401 S 4300 W, West Jordan, UT 84088</t>
  </si>
  <si>
    <t>(801) 282-2100</t>
  </si>
  <si>
    <t>chris@dryhouse.com</t>
  </si>
  <si>
    <t>Rocky Mountain Window &amp; Door</t>
  </si>
  <si>
    <t>Jon A Geertsen</t>
  </si>
  <si>
    <t>505 N 1200 W, Orem, UT 84057</t>
  </si>
  <si>
    <t>(801) 223-7052</t>
  </si>
  <si>
    <t>jong@rockymountainwindows.com</t>
  </si>
  <si>
    <t>Roombldr</t>
  </si>
  <si>
    <t>Micky Schlagel</t>
  </si>
  <si>
    <t>861 Southpark Dr, #100, Littleton, CO 80120</t>
  </si>
  <si>
    <t>(720) 790-4765</t>
  </si>
  <si>
    <t>Micky@roombldr.com</t>
  </si>
  <si>
    <t>Roth Living</t>
  </si>
  <si>
    <t>Dori Hohmann</t>
  </si>
  <si>
    <t>1400 S Foothill Blvd, #212, Salt Lake City, UT 84108</t>
  </si>
  <si>
    <t>(801) 582-5552</t>
  </si>
  <si>
    <t>dorih@rothliving.com</t>
  </si>
  <si>
    <t>Royal Courts LLC</t>
  </si>
  <si>
    <t>Kade Hall</t>
  </si>
  <si>
    <t>517 N 360 W, Vineyard, UT 84059</t>
  </si>
  <si>
    <t>(801) 389-5444</t>
  </si>
  <si>
    <t>rusty@royalcourtsut.com</t>
  </si>
  <si>
    <t>Royal Engineering</t>
  </si>
  <si>
    <t>Nathan Sweat</t>
  </si>
  <si>
    <t>1837 S East Bay Blvd, Provo, UT 84606</t>
  </si>
  <si>
    <t>(801) 375-2228</t>
  </si>
  <si>
    <t>nathan.sweat@royaleng.com</t>
  </si>
  <si>
    <t>Royal Lane Cabinets</t>
  </si>
  <si>
    <t>Justin Bateman</t>
  </si>
  <si>
    <t>3305 W Mayflower, #1, Lehi, UT 84043</t>
  </si>
  <si>
    <t>(801) 573-6194</t>
  </si>
  <si>
    <t>justin@royallanecabinets.com</t>
  </si>
  <si>
    <t>Royalty Solutions</t>
  </si>
  <si>
    <t>Ethan Baldwin</t>
  </si>
  <si>
    <t>48 W 1740 N, Orem, UT 84057</t>
  </si>
  <si>
    <t>(385) 254-5530</t>
  </si>
  <si>
    <t>ethan@royaltysolutionsut.com</t>
  </si>
  <si>
    <t>Roylt Construction</t>
  </si>
  <si>
    <t>Tyler McCue</t>
  </si>
  <si>
    <t>274 W 200 S, Provo, UT 84601</t>
  </si>
  <si>
    <t>(801) 900-3249</t>
  </si>
  <si>
    <t>tmccue@royltconstruction.com</t>
  </si>
  <si>
    <t>Ruck</t>
  </si>
  <si>
    <t>Shaun Merritt</t>
  </si>
  <si>
    <t>1200 Towne Centre Blvd Spc 2134, Provo, UT 84601</t>
  </si>
  <si>
    <t>(385) 332-8057</t>
  </si>
  <si>
    <t>shaun@ruckdelivery.com</t>
  </si>
  <si>
    <t>Safeguard Print Promote</t>
  </si>
  <si>
    <t>Greg Schauerhamer</t>
  </si>
  <si>
    <t>594 E 800 S, #F, Orem, UT 84097</t>
  </si>
  <si>
    <t>(801) 226-2730</t>
  </si>
  <si>
    <t>greg@safeguardprintpromote.com</t>
  </si>
  <si>
    <t>Salisbury Plumbing</t>
  </si>
  <si>
    <t>Joshua Salisbury</t>
  </si>
  <si>
    <t>740 N 400 E, Lehi, UT 84043</t>
  </si>
  <si>
    <t>(801) 360-0302</t>
  </si>
  <si>
    <t>josh@salisburyut.com</t>
  </si>
  <si>
    <t>Salt Cinema</t>
  </si>
  <si>
    <t>Bannon Greer</t>
  </si>
  <si>
    <t>881 Baxter Dr, #100, South Jordan, UT 84095</t>
  </si>
  <si>
    <t>(385) 217-6460</t>
  </si>
  <si>
    <t>bannon@saltcinema.com</t>
  </si>
  <si>
    <t>Salt Design Cabinet &amp; Mill</t>
  </si>
  <si>
    <t>Tina Smith</t>
  </si>
  <si>
    <t>1530 N State St, #D, Lehi, UT 84043</t>
  </si>
  <si>
    <t>(801) 964-1806</t>
  </si>
  <si>
    <t>tina@saltdesigncabinetry.com</t>
  </si>
  <si>
    <t>Schoonover Plumbing &amp; Heating, Inc.</t>
  </si>
  <si>
    <t>Dan Burke</t>
  </si>
  <si>
    <t>4661 S Cherry St, Murray, UT 84123</t>
  </si>
  <si>
    <t>(801) 768-4021</t>
  </si>
  <si>
    <t>dennis@schoonover-plumbing.com</t>
  </si>
  <si>
    <t>Secure Title</t>
  </si>
  <si>
    <t>Heather Anne Jackson</t>
  </si>
  <si>
    <t>1092 Ira Hodges Scenic Pkwy, Eagle Mountain, UT 84005</t>
  </si>
  <si>
    <t>(801) 367-6506</t>
  </si>
  <si>
    <t>heather@securetitle.com</t>
  </si>
  <si>
    <t>Security Home Mortgage</t>
  </si>
  <si>
    <t>Jon Chamberlain</t>
  </si>
  <si>
    <t>576 S State St, Orem, UT 84058</t>
  </si>
  <si>
    <t>(801) 876-5932</t>
  </si>
  <si>
    <t>jonc@securityhomemortgage.com</t>
  </si>
  <si>
    <t>Sego Homes</t>
  </si>
  <si>
    <t>Kayla Brown</t>
  </si>
  <si>
    <t>9785 S Monroe Street, #100, Sandy, UT 84070</t>
  </si>
  <si>
    <t>(801) 850-2040</t>
  </si>
  <si>
    <t>kaylab@segohomes.com</t>
  </si>
  <si>
    <t>Self-Help Homes</t>
  </si>
  <si>
    <t>Brad Bishop</t>
  </si>
  <si>
    <t>63 N 400 W, Provo, UT 84601</t>
  </si>
  <si>
    <t>(801) 375-2205</t>
  </si>
  <si>
    <t>brad@selfhelphomes.org</t>
  </si>
  <si>
    <t>SGS Associates</t>
  </si>
  <si>
    <t>Matt M Stewart</t>
  </si>
  <si>
    <t>1675 N 200 W, #4, Provo, UT 84604</t>
  </si>
  <si>
    <t>(801) 377-6700</t>
  </si>
  <si>
    <t>mmstewart@me.com</t>
  </si>
  <si>
    <t>Sharp Carp</t>
  </si>
  <si>
    <t>Alex Caskey</t>
  </si>
  <si>
    <t>965 W 230 N, Orem, UT 84057</t>
  </si>
  <si>
    <t>(952) 715-0761</t>
  </si>
  <si>
    <t>sharpcarpfinish@gmail.com</t>
  </si>
  <si>
    <t>Shelby Homes</t>
  </si>
  <si>
    <t>Mike Deuel</t>
  </si>
  <si>
    <t>9657 N 5650 W, Highland, UT 84003</t>
  </si>
  <si>
    <t>(801) 717-6688</t>
  </si>
  <si>
    <t>mike@shelbyhomes.com</t>
  </si>
  <si>
    <t>Sheridans Home &amp; Patio</t>
  </si>
  <si>
    <t>Abraham Serafin</t>
  </si>
  <si>
    <t>115 S State St, #A, Lindon, UT 84042</t>
  </si>
  <si>
    <t>(801) 907-0158</t>
  </si>
  <si>
    <t>abraham@sheridansmarket.com</t>
  </si>
  <si>
    <t>Sherwin Williams</t>
  </si>
  <si>
    <t>Erin Stifter</t>
  </si>
  <si>
    <t>268 N State, Orem, UT 84057</t>
  </si>
  <si>
    <t>(801) 367-8577</t>
  </si>
  <si>
    <t>erin.k.stifter@sherwin.com</t>
  </si>
  <si>
    <t>Sierra Homes South</t>
  </si>
  <si>
    <t>John Caldwell</t>
  </si>
  <si>
    <t>1877 S Magnolia Ln, Mapleton, UT 84664</t>
  </si>
  <si>
    <t>(801) 427-1733</t>
  </si>
  <si>
    <t>john@sierrahomes.com</t>
  </si>
  <si>
    <t>Silver Bird Homes</t>
  </si>
  <si>
    <t>Christopher Bennett</t>
  </si>
  <si>
    <t>171 E 2100 S, Orem, UT 84058</t>
  </si>
  <si>
    <t>(801) 602-3577</t>
  </si>
  <si>
    <t>chris@buyorsellutah.com</t>
  </si>
  <si>
    <t>Silverado Electric LLC</t>
  </si>
  <si>
    <t>Shawn Allred</t>
  </si>
  <si>
    <t>PO Box 1710, Spanish Fork, UT 84660</t>
  </si>
  <si>
    <t>(801) 836-8962</t>
  </si>
  <si>
    <t>silveradoelectric@gmail.com</t>
  </si>
  <si>
    <t>Skyeline Homes</t>
  </si>
  <si>
    <t>Tyler Rhoton</t>
  </si>
  <si>
    <t>767 S Auto Mall Dr, #2, American Fork, UT 84003</t>
  </si>
  <si>
    <t>(208) 403-5905</t>
  </si>
  <si>
    <t>accounting@skyelinehomes.com</t>
  </si>
  <si>
    <t>Skylight Solution Systems, Inc.</t>
  </si>
  <si>
    <t>Robert Schmutz</t>
  </si>
  <si>
    <t>8064 S 1000 E, Sandy, UT 84094</t>
  </si>
  <si>
    <t>(801) 330-6398</t>
  </si>
  <si>
    <t>skylinesolutionsystems@gmail.com</t>
  </si>
  <si>
    <t>Skyline Builders Supply</t>
  </si>
  <si>
    <t>Brett Butterfield</t>
  </si>
  <si>
    <t>538 W 100 S, Ephraim, UT 84627</t>
  </si>
  <si>
    <t>(435) 283-0525</t>
  </si>
  <si>
    <t>accounting@skylinebuilderssupply.com</t>
  </si>
  <si>
    <t>Skyline Painting</t>
  </si>
  <si>
    <t>Alex Tadd</t>
  </si>
  <si>
    <t>1046 Ash Ave, Provo, UT 84604</t>
  </si>
  <si>
    <t>(702) 845-5494</t>
  </si>
  <si>
    <t>alexandertadd@gmail.com</t>
  </si>
  <si>
    <t>Skyline Plumbing &amp; Mechanical Inc.</t>
  </si>
  <si>
    <t>Michael Scott</t>
  </si>
  <si>
    <t>801 N 1890 W, Provo, UT 84601</t>
  </si>
  <si>
    <t>(801) 766-1711</t>
  </si>
  <si>
    <t>Skylineplumb@gmail.com</t>
  </si>
  <si>
    <t>Slate Plumbing Heating and Air</t>
  </si>
  <si>
    <t>Zach Hunter</t>
  </si>
  <si>
    <t>3300 N Ashton Blvd, #350, Lehi, UT 84043</t>
  </si>
  <si>
    <t>(801) 515-0672</t>
  </si>
  <si>
    <t>info@slateplumbingco.com</t>
  </si>
  <si>
    <t>Smart Shades</t>
  </si>
  <si>
    <t>Josias Solorzano</t>
  </si>
  <si>
    <t>1150 S 850 E, Spanish Fork, UT 84660</t>
  </si>
  <si>
    <t>(801) 372-6718</t>
  </si>
  <si>
    <t>smartshadesut@gmail.com</t>
  </si>
  <si>
    <t>SmartClean Commercial Cleaning</t>
  </si>
  <si>
    <t>Andrezza Campos</t>
  </si>
  <si>
    <t>115 E 6980 S, Midvale, UT 84047</t>
  </si>
  <si>
    <t>(801) 808-7294</t>
  </si>
  <si>
    <t>smartcleancampos@gmail.com</t>
  </si>
  <si>
    <t>Smith Hardware and Glass</t>
  </si>
  <si>
    <t>Cory Smith</t>
  </si>
  <si>
    <t>587 W State Rd, #A-1, Pleasant Grove, UT 84062</t>
  </si>
  <si>
    <t>(801) 701-0310</t>
  </si>
  <si>
    <t>cory@smithhardwareandglass.com</t>
  </si>
  <si>
    <t>SMT Concrete</t>
  </si>
  <si>
    <t>McKay Tonga</t>
  </si>
  <si>
    <t>79 N Geneva Rd, Provo, UT 84601</t>
  </si>
  <si>
    <t>(801) 837-9981</t>
  </si>
  <si>
    <t>office@smtconcrete.com</t>
  </si>
  <si>
    <t>Snap Sale Tours</t>
  </si>
  <si>
    <t>Derek Collins</t>
  </si>
  <si>
    <t>1773 N 1030 W, Orem, UT 84057</t>
  </si>
  <si>
    <t>(801) 855-6843</t>
  </si>
  <si>
    <t>derek.collins@snap-sale.net</t>
  </si>
  <si>
    <t>Snow College</t>
  </si>
  <si>
    <t>David Barker</t>
  </si>
  <si>
    <t>150 College Ave, Ephraim, UT 84627</t>
  </si>
  <si>
    <t>(435) 851-3968</t>
  </si>
  <si>
    <t>david.barker@snow.edu</t>
  </si>
  <si>
    <t>Solid Ground Landscaping</t>
  </si>
  <si>
    <t>Ryan Withers</t>
  </si>
  <si>
    <t>95 E 1600 N, Mapleton, UT 84663</t>
  </si>
  <si>
    <t>(801) 592-7755</t>
  </si>
  <si>
    <t>sgofficeutah@gmail.com</t>
  </si>
  <si>
    <t>Soniq Windows and Doors</t>
  </si>
  <si>
    <t>Michael Nakken</t>
  </si>
  <si>
    <t>238 W Life Science Way, #400, Draper, UT 84020</t>
  </si>
  <si>
    <t>(385) 210-0481</t>
  </si>
  <si>
    <t>michael@soniqllc.com</t>
  </si>
  <si>
    <t>Sound Capital</t>
  </si>
  <si>
    <t>Brian Coffman</t>
  </si>
  <si>
    <t>1108 W Wasatch Spring Rd, Kamas, UT 84036</t>
  </si>
  <si>
    <t>(602) 793-4031</t>
  </si>
  <si>
    <t>brianc@soundcapital.com</t>
  </si>
  <si>
    <t>South Haven Homes</t>
  </si>
  <si>
    <t>Greg Southard</t>
  </si>
  <si>
    <t>437 E 1000 S, Pleasant Grove, UT 84062</t>
  </si>
  <si>
    <t>(801) 701-5000</t>
  </si>
  <si>
    <t>jeff@southhaven-homes.com</t>
  </si>
  <si>
    <t>SouthCreek Builders</t>
  </si>
  <si>
    <t>Jared Knuteson</t>
  </si>
  <si>
    <t>3881 W 12680 S, Payson, UT 84651</t>
  </si>
  <si>
    <t>(801) 465-4104</t>
  </si>
  <si>
    <t>knute1173@msn.com</t>
  </si>
  <si>
    <t>SouthernKings General Services, LLC</t>
  </si>
  <si>
    <t>Luis Reyes</t>
  </si>
  <si>
    <t>614 E 400 S, Springville, UT 84663</t>
  </si>
  <si>
    <t>(385) 437-9128</t>
  </si>
  <si>
    <t>southernkings007@gmail.com</t>
  </si>
  <si>
    <t>Southwest Painting</t>
  </si>
  <si>
    <t>Felicitas Garcia</t>
  </si>
  <si>
    <t>3474 W San Carlos Dr, West Valley City, UT 84119</t>
  </si>
  <si>
    <t>(801) 548-0067</t>
  </si>
  <si>
    <t>famgenterprise@gmail.com</t>
  </si>
  <si>
    <t>Southwest Plumbing Supply</t>
  </si>
  <si>
    <t>Kendra Andrews</t>
  </si>
  <si>
    <t>940 S 2000 W, Springville, UT 84663</t>
  </si>
  <si>
    <t>(801) 867-1125</t>
  </si>
  <si>
    <t>kendraa@swplumb.com</t>
  </si>
  <si>
    <t>Specialty Painting Inc.</t>
  </si>
  <si>
    <t>Doug Evans</t>
  </si>
  <si>
    <t>14725 Heritagecrest Way, Bluffdale, UT 84065</t>
  </si>
  <si>
    <t>(801) 641-0882</t>
  </si>
  <si>
    <t>doug@specialtypaintingutah.com</t>
  </si>
  <si>
    <t>Splinterworks</t>
  </si>
  <si>
    <t>Miles Hartwell</t>
  </si>
  <si>
    <t>20 Old Bond Street, Bath, Somerset BA1 1BP</t>
  </si>
  <si>
    <t>(212) 287-7147</t>
  </si>
  <si>
    <t>enquiries@splinterworks.com</t>
  </si>
  <si>
    <t>Splash Summit Waterpark</t>
  </si>
  <si>
    <t>Nick Strong</t>
  </si>
  <si>
    <t>1330 300 N, Provo, UT 84606</t>
  </si>
  <si>
    <t>(801) 319-6269</t>
  </si>
  <si>
    <t>nick@splashsummitresort.com</t>
  </si>
  <si>
    <t>Sport Court West</t>
  </si>
  <si>
    <t>Austin Williams</t>
  </si>
  <si>
    <t>321 Quail Trax PI, Murray, UT 84107</t>
  </si>
  <si>
    <t>(800) 296-5566</t>
  </si>
  <si>
    <t>morgan@sportswestco.com</t>
  </si>
  <si>
    <t>Spray-Net Provo-Orem</t>
  </si>
  <si>
    <t>Roger Critchfield</t>
  </si>
  <si>
    <t>1675 N Freedom Blvd, Bld 2 #286, Provo, UT 84604</t>
  </si>
  <si>
    <t>(801) 592-2310</t>
  </si>
  <si>
    <t>roger@spray-net.com</t>
  </si>
  <si>
    <t>Springville City</t>
  </si>
  <si>
    <t>Chris Creer</t>
  </si>
  <si>
    <t>110 S Main, Springville, UT 84663</t>
  </si>
  <si>
    <t>(801) 491-7832</t>
  </si>
  <si>
    <t>ccreer@springville.org</t>
  </si>
  <si>
    <t>Squire &amp; Company</t>
  </si>
  <si>
    <t>Drew Bigler</t>
  </si>
  <si>
    <t>1329 S 800 E, Orem, UT 84097</t>
  </si>
  <si>
    <t>(801) 225-6900</t>
  </si>
  <si>
    <t>drewb@squire.com</t>
  </si>
  <si>
    <t>SS Glass</t>
  </si>
  <si>
    <t>Steve Strong</t>
  </si>
  <si>
    <t>309 E 300 S, Springville, UT 84663</t>
  </si>
  <si>
    <t>(801) 735-5412</t>
  </si>
  <si>
    <t>strongssglass@gmail.com</t>
  </si>
  <si>
    <t>Stage 7 Design</t>
  </si>
  <si>
    <t>Samantha Carson</t>
  </si>
  <si>
    <t>6575 W 7300 N, American Fork, UT 84003</t>
  </si>
  <si>
    <t>(801) 763-7370</t>
  </si>
  <si>
    <t>stage7design@gmail.com</t>
  </si>
  <si>
    <t>Stan Barlow Construction LLC</t>
  </si>
  <si>
    <t>Trevor Barlow</t>
  </si>
  <si>
    <t>876 N 700 E, Mapleton, UT 84664</t>
  </si>
  <si>
    <t>(801) 628-1790</t>
  </si>
  <si>
    <t>trevor@stanbarlowconstruction.com</t>
  </si>
  <si>
    <t>Stanley Contracting</t>
  </si>
  <si>
    <t>Nate Stanley</t>
  </si>
  <si>
    <t>815 N Spring Ln, Spanish Fork, UT 84660</t>
  </si>
  <si>
    <t>(801) 717-6976</t>
  </si>
  <si>
    <t>nate@stanleycontracting.net</t>
  </si>
  <si>
    <t>Static Marketing</t>
  </si>
  <si>
    <t>Brayden Tomicic</t>
  </si>
  <si>
    <t>24 W Main St, #113, Lehi, UT 84043</t>
  </si>
  <si>
    <t>(801) 472-3278</t>
  </si>
  <si>
    <t>brayden@workwithstatic.com</t>
  </si>
  <si>
    <t>Steiner Painting Inc.</t>
  </si>
  <si>
    <t>Jesse Lee Steiner</t>
  </si>
  <si>
    <t>1748 Anderson Ave, Springville, UT 84663</t>
  </si>
  <si>
    <t>(801) 368-1312</t>
  </si>
  <si>
    <t>jesse.steiner@gmail.com</t>
  </si>
  <si>
    <t>Sterling Structures Inc.</t>
  </si>
  <si>
    <t>Rick Radley</t>
  </si>
  <si>
    <t>1458 E 300 S, Pleasant Grove, UT 84062</t>
  </si>
  <si>
    <t>(801) 787-7983</t>
  </si>
  <si>
    <t>sterlingframes4u@gmail.com</t>
  </si>
  <si>
    <t>Steven Dailey Construction, Inc.</t>
  </si>
  <si>
    <t>Stephanie Dailey</t>
  </si>
  <si>
    <t>(801) 673-1614</t>
  </si>
  <si>
    <t>stephanie@stevendailey.com</t>
  </si>
  <si>
    <t>Stone Mountain Castings &amp; Design</t>
  </si>
  <si>
    <t>Mandii Olsen</t>
  </si>
  <si>
    <t>140 N 1200 W, Orem, UT 84057</t>
  </si>
  <si>
    <t>(801) 495-9797</t>
  </si>
  <si>
    <t>molsen@stonemt.net</t>
  </si>
  <si>
    <t>Stonehenge Fence &amp; Deck</t>
  </si>
  <si>
    <t>Vicki Jacobson</t>
  </si>
  <si>
    <t>4084 S 300 W, Murray, UT 84107</t>
  </si>
  <si>
    <t>(801) 607-5733</t>
  </si>
  <si>
    <t>vicki@stonehengefence.com</t>
  </si>
  <si>
    <t>Stoneworld Properties</t>
  </si>
  <si>
    <t>Rhett Robison</t>
  </si>
  <si>
    <t>1524 E 715 S, Mapleton, UT 84664</t>
  </si>
  <si>
    <t>(801) 860-7625</t>
  </si>
  <si>
    <t>crstoneinc@gmail.com</t>
  </si>
  <si>
    <t>Stormwater Utah</t>
  </si>
  <si>
    <t>David Duvall</t>
  </si>
  <si>
    <t>PO Box 554, Spanish Fork, UT 84660</t>
  </si>
  <si>
    <t>(385) 448-7724</t>
  </si>
  <si>
    <t>david@stormwaterUtah.com</t>
  </si>
  <si>
    <t>Strong and Hanni PC</t>
  </si>
  <si>
    <t>Matthew Jones</t>
  </si>
  <si>
    <t>9350 S 150 E, #820, Sandy, UT 84070</t>
  </si>
  <si>
    <t>(801) 532-7080</t>
  </si>
  <si>
    <t>pbarlow@strongandhanni.com</t>
  </si>
  <si>
    <t>Studz Construction</t>
  </si>
  <si>
    <t>Rob Snyder</t>
  </si>
  <si>
    <t>706 E 600 S, Salem, UT 84653</t>
  </si>
  <si>
    <t>(801) 735-9771</t>
  </si>
  <si>
    <t>rob@studzutah.com</t>
  </si>
  <si>
    <t>Summit Construction Services LLC</t>
  </si>
  <si>
    <t>Brady Jensen</t>
  </si>
  <si>
    <t>448 N 1750 W, #B, Springville, UT 84663</t>
  </si>
  <si>
    <t>(801) 762-7500</t>
  </si>
  <si>
    <t>bradyj.jensen@gmail.com</t>
  </si>
  <si>
    <t>Summit Fasteners</t>
  </si>
  <si>
    <t>Ted Pennington</t>
  </si>
  <si>
    <t>42 N Geneva Rd, Orem, UT 84057</t>
  </si>
  <si>
    <t>(801) 224-3881</t>
  </si>
  <si>
    <t>mistypennington74@gmail.com</t>
  </si>
  <si>
    <t>Summit Realty, Inc.</t>
  </si>
  <si>
    <t>Matt Evans</t>
  </si>
  <si>
    <t>1455 S State S, #B, Orem, UT 84097</t>
  </si>
  <si>
    <t>(801) 225-7272</t>
  </si>
  <si>
    <t>Matt Evans TeamUtah.com</t>
  </si>
  <si>
    <t>Sun Painters</t>
  </si>
  <si>
    <t>Curtis Miller</t>
  </si>
  <si>
    <t>6648 S 3335 W, West Jordan, UT 84084</t>
  </si>
  <si>
    <t>(801) 209-6324</t>
  </si>
  <si>
    <t>curtis.sunpainters@gmail.com</t>
  </si>
  <si>
    <t>Suncatcher Energy</t>
  </si>
  <si>
    <t>Curt Van Hove</t>
  </si>
  <si>
    <t>8967 Altair Dr, Sandy, UT 84093</t>
  </si>
  <si>
    <t>(801) 255-2888</t>
  </si>
  <si>
    <t>curt@suncatcherenergy.com</t>
  </si>
  <si>
    <t>Sunpro</t>
  </si>
  <si>
    <t>Chris Hale</t>
  </si>
  <si>
    <t>3468 N 1150 W, Spanish Fork, UT 84660</t>
  </si>
  <si>
    <t>(385) 219-8360</t>
  </si>
  <si>
    <t>sbroadbent@sunpro.build</t>
  </si>
  <si>
    <t>Sunroc</t>
  </si>
  <si>
    <t>Ernie Thornton</t>
  </si>
  <si>
    <t>(801) 722-2135</t>
  </si>
  <si>
    <t>ethornton@sunroc.com</t>
  </si>
  <si>
    <t>Superior Buck &amp; Steel Supply</t>
  </si>
  <si>
    <t>Shawn Whetsel</t>
  </si>
  <si>
    <t>8685 S 700 W, Sandy, UT 84070</t>
  </si>
  <si>
    <t>(801) 566-9261</t>
  </si>
  <si>
    <t>shawn@superiorbuck.com</t>
  </si>
  <si>
    <t>Supreme Plaster LLC</t>
  </si>
  <si>
    <t>Luis Rios</t>
  </si>
  <si>
    <t>329 W Lakeview Ct, Vineyard, UT 84059</t>
  </si>
  <si>
    <t>(801) 404-1707</t>
  </si>
  <si>
    <t>luis@supremeplaster.com</t>
  </si>
  <si>
    <t>Surge Electric</t>
  </si>
  <si>
    <t>David Macdonald</t>
  </si>
  <si>
    <t>1460 N Main St, #7, Spanish Fork, UT 84660</t>
  </si>
  <si>
    <t>(801) 798-6006</t>
  </si>
  <si>
    <t>mokell@surgeutah.com</t>
  </si>
  <si>
    <t>SW Morgan Fine Home Design</t>
  </si>
  <si>
    <t>Sam Morgan</t>
  </si>
  <si>
    <t>1515 Elk Ridge Ln, Alpine, UT 84004</t>
  </si>
  <si>
    <t>(801) 367-5380</t>
  </si>
  <si>
    <t>sam@morganfinehomes.com</t>
  </si>
  <si>
    <t>SweetWater Homes</t>
  </si>
  <si>
    <t>Richard McDonald</t>
  </si>
  <si>
    <t>9978 S Eden Crest Rd, South Jordan, UT 84095</t>
  </si>
  <si>
    <t>(801) 910-1029</t>
  </si>
  <si>
    <t>richie.mcdonald@gmail.com</t>
  </si>
  <si>
    <t>Symphony Homes</t>
  </si>
  <si>
    <t>Rob Miller</t>
  </si>
  <si>
    <t>111 S Frontage Rd, Centerville, UT 84014</t>
  </si>
  <si>
    <t>(801) 298-8555</t>
  </si>
  <si>
    <t>miller@symphonyhomes.com</t>
  </si>
  <si>
    <t>T. A. Kirton Custom Homes</t>
  </si>
  <si>
    <t>Tod Kirton</t>
  </si>
  <si>
    <t>312 S 2000 W, #14, Pleasant Grove, UT 84062</t>
  </si>
  <si>
    <t>(801) 706-9748</t>
  </si>
  <si>
    <t>tod@takirton.com</t>
  </si>
  <si>
    <t>Tailored Closets and Premier Garage</t>
  </si>
  <si>
    <t>Bryant Karratti</t>
  </si>
  <si>
    <t>122 N 1800 W, #8, Lindon, UT 84042</t>
  </si>
  <si>
    <t>(385) 271-1733</t>
  </si>
  <si>
    <t>bryant.karratti@tailoredcloset.com</t>
  </si>
  <si>
    <t>Tallon Painting and Coating</t>
  </si>
  <si>
    <t>Easton Tallon</t>
  </si>
  <si>
    <t>1201 W Agave Dr, Santaquin, UT 84655</t>
  </si>
  <si>
    <t>(801) 787-5604</t>
  </si>
  <si>
    <t>tallonpainting@gmail.com</t>
  </si>
  <si>
    <t>Tanner Glass &amp; Hardware, LLC</t>
  </si>
  <si>
    <t>Jennie Tanner</t>
  </si>
  <si>
    <t>7139 S 700 W, #C, Midvale, UT 84047</t>
  </si>
  <si>
    <t>(801) 563-3343</t>
  </si>
  <si>
    <t>jennie@tannerglass.com</t>
  </si>
  <si>
    <t>Tauro Painting</t>
  </si>
  <si>
    <t>Katrina Ramos</t>
  </si>
  <si>
    <t>1144 N Main St, Orem, UT 84057</t>
  </si>
  <si>
    <t>(801) 928-9520</t>
  </si>
  <si>
    <t>tauropaintingutah@gmail.com</t>
  </si>
  <si>
    <t>Taylor Masonry, Inc.</t>
  </si>
  <si>
    <t>Alan Taylor</t>
  </si>
  <si>
    <t>5902 W 9600 N, Highland, UT 84003</t>
  </si>
  <si>
    <t>(801) 787-4949</t>
  </si>
  <si>
    <t>ataylor0070@msn.com</t>
  </si>
  <si>
    <t>TBSE Structural Engineers</t>
  </si>
  <si>
    <t>Luke Balling</t>
  </si>
  <si>
    <t>1355 N Main St, #2, Bountiful, UT 84087</t>
  </si>
  <si>
    <t>(801) 298-8795</t>
  </si>
  <si>
    <t>Iballing@tbse.us</t>
  </si>
  <si>
    <t>TC Decks</t>
  </si>
  <si>
    <t>Levi Tippetts</t>
  </si>
  <si>
    <t>4098 S Captains St, Saratoga Springs, UT 84045</t>
  </si>
  <si>
    <t>(801) 472-8939</t>
  </si>
  <si>
    <t>tippettsconstruction@gmail.com</t>
  </si>
  <si>
    <t>TDJ Electric</t>
  </si>
  <si>
    <t>Troy Johnson</t>
  </si>
  <si>
    <t>7851 S 2450 W, Benjamin, UT 84660</t>
  </si>
  <si>
    <t>(801) 641-9567</t>
  </si>
  <si>
    <t>troy.dj77@gmail.com</t>
  </si>
  <si>
    <t>Team USA Mortgage</t>
  </si>
  <si>
    <t>Roland Evans</t>
  </si>
  <si>
    <t>1675 W 200 S, Payson, UT 84651</t>
  </si>
  <si>
    <t>(801) 885-9679</t>
  </si>
  <si>
    <t>roland@teamusamtg.com</t>
  </si>
  <si>
    <t>Temporary Construction Services</t>
  </si>
  <si>
    <t>Michael B Cox</t>
  </si>
  <si>
    <t>8630 S 700 E, #B2, Sandy, UT 84070</t>
  </si>
  <si>
    <t>(801) 836-6667</t>
  </si>
  <si>
    <t>service@temporaryconstructionservices.com</t>
  </si>
  <si>
    <t>Teton Roofing Inc.</t>
  </si>
  <si>
    <t>824 E 1100 N, Pleasant Grove, UT 84062</t>
  </si>
  <si>
    <t>mcox.teton@gmail.com</t>
  </si>
  <si>
    <t>The Blindman</t>
  </si>
  <si>
    <t>Darcy Christensen</t>
  </si>
  <si>
    <t>750 N 2800 W, Lindon, UT 84042</t>
  </si>
  <si>
    <t>(801) 692-2490</t>
  </si>
  <si>
    <t>darcy@theblindman.com</t>
  </si>
  <si>
    <t>The Buckner Company Insurance</t>
  </si>
  <si>
    <t>Chris Boone</t>
  </si>
  <si>
    <t>2100 W Pleasant Grove Blvd, #180, Pleasant Grove, UT 84062</t>
  </si>
  <si>
    <t>(385) 323-5201</t>
  </si>
  <si>
    <t>cboone@buckner.com</t>
  </si>
  <si>
    <t>The Daily Herald</t>
  </si>
  <si>
    <t>Craig Conover</t>
  </si>
  <si>
    <t>1200 Towne Center Blvd, #1058, Provo, UT 84601</t>
  </si>
  <si>
    <t>(801) 344-2935</t>
  </si>
  <si>
    <t>cconover@heraldextra.com</t>
  </si>
  <si>
    <t>The Home Sauna</t>
  </si>
  <si>
    <t>Ryan Hess</t>
  </si>
  <si>
    <t>15428 S Heritagecrest Way, Bluffdale, UT 84065</t>
  </si>
  <si>
    <t>(801) 870-9089</t>
  </si>
  <si>
    <t>ryan@thehomesauna.com</t>
  </si>
  <si>
    <t>The Other Side Landscaping</t>
  </si>
  <si>
    <t>Shelly Grass</t>
  </si>
  <si>
    <t>1384 N 870 W, Clinton, UT 84015</t>
  </si>
  <si>
    <t>(801) 896-7977</t>
  </si>
  <si>
    <t>theothersideisalwaysgreener@gmail.com</t>
  </si>
  <si>
    <t>The Outdoor Kitchen Kit</t>
  </si>
  <si>
    <t>Ryan Saddler</t>
  </si>
  <si>
    <t>12018 E 23050 N, Fairview, UT 84629</t>
  </si>
  <si>
    <t>(801) 856-0735</t>
  </si>
  <si>
    <t>tokknu@gmail.com</t>
  </si>
  <si>
    <t>The Patio Butler</t>
  </si>
  <si>
    <t>ryan@thepatiobutler.com</t>
  </si>
  <si>
    <t>The Pinball Room</t>
  </si>
  <si>
    <t>Steve Kondris</t>
  </si>
  <si>
    <t>14774 S Desert Sage Dr, Herriman, UT 84096</t>
  </si>
  <si>
    <t>(801) 755-8447</t>
  </si>
  <si>
    <t>thepinballroom@gmail.com</t>
  </si>
  <si>
    <t>The Stone Shop, Inc.</t>
  </si>
  <si>
    <t>Sheridan E Ruvalcaba</t>
  </si>
  <si>
    <t>1304 W 300 S, Lindon, UT 84042</t>
  </si>
  <si>
    <t>(801) 796-6500</t>
  </si>
  <si>
    <t>thestoneshop1@gmail.com</t>
  </si>
  <si>
    <t>The Workman Company Inc</t>
  </si>
  <si>
    <t>Matt Workman</t>
  </si>
  <si>
    <t>1382 E Maple St, Mapleton, UT 84664</t>
  </si>
  <si>
    <t>(801) 368-3433</t>
  </si>
  <si>
    <t>matt@theworkmancompany.com</t>
  </si>
  <si>
    <t>Thomas Brothers Drywall, Inc.</t>
  </si>
  <si>
    <t>Ryan Thomas</t>
  </si>
  <si>
    <t>2263 W 325 S, Mapleton, UT 84664</t>
  </si>
  <si>
    <t>(801) 361-7339</t>
  </si>
  <si>
    <t>thomasbrothersdrywall@gmail.com</t>
  </si>
  <si>
    <t>Thomas Cabinets LLC</t>
  </si>
  <si>
    <t>Warren Thomas</t>
  </si>
  <si>
    <t>348 E Park Ln, Genola, UT 84655</t>
  </si>
  <si>
    <t>(801) 836-2258</t>
  </si>
  <si>
    <t>thomascabinetsllc@gmail.com</t>
  </si>
  <si>
    <t>Threadleaf Landscape Design</t>
  </si>
  <si>
    <t>Chelsea Hartshorn</t>
  </si>
  <si>
    <t>241 West Lane, Provo, UT 84601</t>
  </si>
  <si>
    <t>(385) 274-9031</t>
  </si>
  <si>
    <t>chelsea@threadleafdesign.com</t>
  </si>
  <si>
    <t>Thryv</t>
  </si>
  <si>
    <t>Guy Van Dyke</t>
  </si>
  <si>
    <t>929 W 1560 N, Orem, UT 84057</t>
  </si>
  <si>
    <t>(801) 400-1690</t>
  </si>
  <si>
    <t>guy.vandyke@thryv.com</t>
  </si>
  <si>
    <t>Thurgood Construction Services</t>
  </si>
  <si>
    <t>Holly Thurgood</t>
  </si>
  <si>
    <t>1468 S 910 S, Lehi, UT 84043</t>
  </si>
  <si>
    <t>(801) 380-3167</t>
  </si>
  <si>
    <t>thurgoodcs@gmail.com</t>
  </si>
  <si>
    <t>Tiffany Homes</t>
  </si>
  <si>
    <t>Tiffany Walden</t>
  </si>
  <si>
    <t>1754 E Cedar Trails Way, Eagle Mountain, UT 84005</t>
  </si>
  <si>
    <t>(801) 205-9143</t>
  </si>
  <si>
    <t>founders@eaglemountainutah.com</t>
  </si>
  <si>
    <t>Tile Ram</t>
  </si>
  <si>
    <t>Jake Green</t>
  </si>
  <si>
    <t>371 N Matterhorn Dr, Alpine, UT 84004</t>
  </si>
  <si>
    <t>(801) 707-9255</t>
  </si>
  <si>
    <t>jake@tileram.com</t>
  </si>
  <si>
    <t>Tile Solutions</t>
  </si>
  <si>
    <t>Abraham Saavedra</t>
  </si>
  <si>
    <t>723 N 550 W, Orem, UT 84057</t>
  </si>
  <si>
    <t>(801) 616-9984</t>
  </si>
  <si>
    <t>tilesolutions.as@gmail.com</t>
  </si>
  <si>
    <t>Timberline Wholesale</t>
  </si>
  <si>
    <t>Chase Clark</t>
  </si>
  <si>
    <t>629 Saratoga Rd, #200, Saratoga Springs, UT 84043</t>
  </si>
  <si>
    <t>(801) 808-6921</t>
  </si>
  <si>
    <t>chase@timberlinewholesale.com</t>
  </si>
  <si>
    <t>Timeless Pools of Utah, Inc.</t>
  </si>
  <si>
    <t>Colton Fuller</t>
  </si>
  <si>
    <t>2841 Saturn St, Brea, CA 92821</t>
  </si>
  <si>
    <t>(888) 559-6559</t>
  </si>
  <si>
    <t>info@timelesspools.us</t>
  </si>
  <si>
    <t>Timpanogos Financial Advisors</t>
  </si>
  <si>
    <t>Jason Payne</t>
  </si>
  <si>
    <t>821 N 900 W, Orem, UT 84057</t>
  </si>
  <si>
    <t>(801) 607-5670</t>
  </si>
  <si>
    <t>Jason@timpfa.com</t>
  </si>
  <si>
    <t>Titan Architectural Products LLC</t>
  </si>
  <si>
    <t>Jeremy Trimmer</t>
  </si>
  <si>
    <t>3575 S 700 W, South Salt Lake, UT 84119</t>
  </si>
  <si>
    <t>(801) 363-7245</t>
  </si>
  <si>
    <t>billing@titanap.com</t>
  </si>
  <si>
    <t>Titan Constructors</t>
  </si>
  <si>
    <t>Shawn Argyle</t>
  </si>
  <si>
    <t>(801) 494-4463</t>
  </si>
  <si>
    <t>titanconstructors@gmail.com</t>
  </si>
  <si>
    <t>Told Plumbing, LLC</t>
  </si>
  <si>
    <t>David Told</t>
  </si>
  <si>
    <t>501 S Main St, Pleasant Grove, UT 84062</t>
  </si>
  <si>
    <t>(801) 785-5559</t>
  </si>
  <si>
    <t>davet@toldplumbing.com</t>
  </si>
  <si>
    <t>Toll Brothers</t>
  </si>
  <si>
    <t>Benjamin Gillen</t>
  </si>
  <si>
    <t>38 E Scenic Pointe Dr, #100, Draper, UT 84020</t>
  </si>
  <si>
    <t>(801) 953-4344</t>
  </si>
  <si>
    <t>bgillen@tollbrothers.com</t>
  </si>
  <si>
    <t>Torchlight Homes</t>
  </si>
  <si>
    <t>Brody Horton</t>
  </si>
  <si>
    <t>135 N 200 E, Lindon, UT 84042</t>
  </si>
  <si>
    <t>(801) 787-2099</t>
  </si>
  <si>
    <t>brody@torch.homes</t>
  </si>
  <si>
    <t>Touchstone Builders</t>
  </si>
  <si>
    <t>Scott Muir</t>
  </si>
  <si>
    <t>Draper, UT 84020</t>
  </si>
  <si>
    <t>(801) 376-4412</t>
  </si>
  <si>
    <t>scott@touchstonebuilder.com</t>
  </si>
  <si>
    <t>Trash Unlimited, Inc.</t>
  </si>
  <si>
    <t>Jerry Williams</t>
  </si>
  <si>
    <t>1940 S State St, Springville, UT 84663</t>
  </si>
  <si>
    <t>(801) 426-7600</t>
  </si>
  <si>
    <t>billing@jwstorage.com</t>
  </si>
  <si>
    <t>Trevi Homes</t>
  </si>
  <si>
    <t>Becky Harward</t>
  </si>
  <si>
    <t>151 N Main, #2, Santaquin, UT 84655</t>
  </si>
  <si>
    <t>(801) 885-0567</t>
  </si>
  <si>
    <t>hyvehomesconstruction@gmail.com</t>
  </si>
  <si>
    <t>Tri Phase Electric</t>
  </si>
  <si>
    <t>Zane Adams</t>
  </si>
  <si>
    <t>775 E Utah Valley Dr, American Fork, UT 84003</t>
  </si>
  <si>
    <t>(801) 756-6008</t>
  </si>
  <si>
    <t>zadams@tri-phaseelectric.com</t>
  </si>
  <si>
    <t>Tri-State Metal Roofing Supply</t>
  </si>
  <si>
    <t>Jennifer Valdez</t>
  </si>
  <si>
    <t>770 W River Park Dr, Riverdale, UT 84405</t>
  </si>
  <si>
    <t>(801) 689-0989</t>
  </si>
  <si>
    <t>jennifer@tsmetalsupply.com</t>
  </si>
  <si>
    <t>Tri-Tex Construction Group (TCG)</t>
  </si>
  <si>
    <t>Oscar D. Rosales</t>
  </si>
  <si>
    <t>75 Mountain Way Dr, Orem, UT 84058</t>
  </si>
  <si>
    <t>(801) 356-3545</t>
  </si>
  <si>
    <t>tritexinc@hotmail.com</t>
  </si>
  <si>
    <t>Triumph Construction, LLC</t>
  </si>
  <si>
    <t>James Allred</t>
  </si>
  <si>
    <t>5151 S 900 E, #250, Salt Lake City, UT 84117</t>
  </si>
  <si>
    <t>(801) 269-1508</t>
  </si>
  <si>
    <t>jima@triumphcmg.com</t>
  </si>
  <si>
    <t>Trophy Construction</t>
  </si>
  <si>
    <t>Riley Lyman</t>
  </si>
  <si>
    <t>458 N Main St, Mapleton, UT 84664</t>
  </si>
  <si>
    <t>(801) 380-3713</t>
  </si>
  <si>
    <t>trophybuilt@gmail.com</t>
  </si>
  <si>
    <t>True Drywall</t>
  </si>
  <si>
    <t>Spencer Reeve</t>
  </si>
  <si>
    <t>2431 N 180 W, Pleasant Grove, UT 84062</t>
  </si>
  <si>
    <t>(801) 602-7524</t>
  </si>
  <si>
    <t>reevebuilt@live.com</t>
  </si>
  <si>
    <t>True Quality Construction</t>
  </si>
  <si>
    <t>Daniel Deverall</t>
  </si>
  <si>
    <t>55 W 200 N, Provo, UT 84601</t>
  </si>
  <si>
    <t>(801) 259-1037</t>
  </si>
  <si>
    <t>tqc801@gmail.com</t>
  </si>
  <si>
    <t>TruGolf</t>
  </si>
  <si>
    <t>Cannon Robison</t>
  </si>
  <si>
    <t>60 N 1400 W, Centerville, UT 84014</t>
  </si>
  <si>
    <t>(801) 298-1997</t>
  </si>
  <si>
    <t>cannonr@trugolf.com</t>
  </si>
  <si>
    <t>Tubzz</t>
  </si>
  <si>
    <t>315 S 1250 W, Lindon, UT 84042</t>
  </si>
  <si>
    <t>(801) 785-8827</t>
  </si>
  <si>
    <t>jake@tubzz.com</t>
  </si>
  <si>
    <t>Turn-a-Key Locksmith</t>
  </si>
  <si>
    <t>McKayla Staker</t>
  </si>
  <si>
    <t>93 N 2000 W, Pleasant Grove, UT 84062</t>
  </si>
  <si>
    <t>(801) 839-6777</t>
  </si>
  <si>
    <t>mckayla@turnakeylocksmith.com</t>
  </si>
  <si>
    <t>Tuscany Builders Inc.</t>
  </si>
  <si>
    <t>Bob C. Buckley Jr.</t>
  </si>
  <si>
    <t>HC 13 Box 321, Fairview, UT 84629</t>
  </si>
  <si>
    <t>(801) 598-8280</t>
  </si>
  <si>
    <t>Bob@tuscanybuildersinc.com</t>
  </si>
  <si>
    <t>Twist Electric</t>
  </si>
  <si>
    <t>Shelby Pintus</t>
  </si>
  <si>
    <t>7564 S Graham Ln, Midvale, UT 84047</t>
  </si>
  <si>
    <t>(801) 661-8205</t>
  </si>
  <si>
    <t>shelby@twist-electric.com</t>
  </si>
  <si>
    <t>U.S. Bank</t>
  </si>
  <si>
    <t>John Clark</t>
  </si>
  <si>
    <t>1220 S State St, Orem, UT 84097</t>
  </si>
  <si>
    <t>(801) 787-5514</t>
  </si>
  <si>
    <t>john.clark@usbank.com</t>
  </si>
  <si>
    <t>Unique Custom Exteriors</t>
  </si>
  <si>
    <t>Brooks Larson</t>
  </si>
  <si>
    <t>9326 S Hawley Park Rd, West Jordan, UT 84088</t>
  </si>
  <si>
    <t>(801) 280-1061</t>
  </si>
  <si>
    <t>Brooks@ucepro.com</t>
  </si>
  <si>
    <t>Uptown Blinds and Drapes</t>
  </si>
  <si>
    <t>Geeta Buckley</t>
  </si>
  <si>
    <t>1350 W 200 S, #2, Lindon, UT 84042</t>
  </si>
  <si>
    <t>(801) 413-9609</t>
  </si>
  <si>
    <t>geeta@uptowndrapes.com</t>
  </si>
  <si>
    <t>Upwall Design Architects</t>
  </si>
  <si>
    <t>Michael Upwall</t>
  </si>
  <si>
    <t>1930 S 1100 E, Salt Lake City, UT 84106</t>
  </si>
  <si>
    <t>(801) 485-0708</t>
  </si>
  <si>
    <t>karina@upwalldesign.com</t>
  </si>
  <si>
    <t>Urban Forest Landscaping</t>
  </si>
  <si>
    <t>Talon Garrick</t>
  </si>
  <si>
    <t>1901 W 820 N, #C6, Provo, UT 84601</t>
  </si>
  <si>
    <t>(801) 310-2101</t>
  </si>
  <si>
    <t>talon@urbanforestlandscape.com</t>
  </si>
  <si>
    <t>US Title</t>
  </si>
  <si>
    <t>Hal J Tippetts</t>
  </si>
  <si>
    <t>843 N 900 W, Orem, UT 84057</t>
  </si>
  <si>
    <t>(801) 225-1234</t>
  </si>
  <si>
    <t>htippetts@ustitleutah.com</t>
  </si>
  <si>
    <t>Utah Business Insurance Co.</t>
  </si>
  <si>
    <t>Don Hansen</t>
  </si>
  <si>
    <t>10421 S Jordan Gateway, #400, South Jordan, UT 84095</t>
  </si>
  <si>
    <t>(801) 889-1300</t>
  </si>
  <si>
    <t>don@utahbic.com</t>
  </si>
  <si>
    <t>Utah Carriage House Doors</t>
  </si>
  <si>
    <t>Tyler David Powell</t>
  </si>
  <si>
    <t>1372 W 465 S, Orem, UT 84058</t>
  </si>
  <si>
    <t>(801) 865-2829</t>
  </si>
  <si>
    <t>utahcarriagehousedoors@gmail.com</t>
  </si>
  <si>
    <t>Utah Central Assoc. of Realtors</t>
  </si>
  <si>
    <t>Peter Christensen</t>
  </si>
  <si>
    <t>1031 W Center St, #100, Orem, UT 84057</t>
  </si>
  <si>
    <t>(801) 226-3777</t>
  </si>
  <si>
    <t>peter@ucaor.com</t>
  </si>
  <si>
    <t>Utah Community Credit Union</t>
  </si>
  <si>
    <t>Brian Luke</t>
  </si>
  <si>
    <t>360 W 4800 N, Provo, UT 84604</t>
  </si>
  <si>
    <t>(801) 223-7628</t>
  </si>
  <si>
    <t>brianl@uccu.com</t>
  </si>
  <si>
    <t>Utah Design Center</t>
  </si>
  <si>
    <t>Daniel Willey</t>
  </si>
  <si>
    <t>1971 W Parkway Blvd, Salt Lake City, UT 84119</t>
  </si>
  <si>
    <t>(385) 722-9096</t>
  </si>
  <si>
    <t>daniel@utdesigncenter.com</t>
  </si>
  <si>
    <t>Utah Disaster Kleenup</t>
  </si>
  <si>
    <t>Jon Warner</t>
  </si>
  <si>
    <t>13081 S Minuteman Dr, Draper, UT 84020</t>
  </si>
  <si>
    <t>(801) 553-1010</t>
  </si>
  <si>
    <t>jon.warner@utdk.com</t>
  </si>
  <si>
    <t>Utah Exterior Pros</t>
  </si>
  <si>
    <t>Luis Castillo</t>
  </si>
  <si>
    <t>11526 S Bingham Rim Rd, South Jordan, UT 84009</t>
  </si>
  <si>
    <t>(801) 793-7809</t>
  </si>
  <si>
    <t>office.utahexteriorpros@gmail.com</t>
  </si>
  <si>
    <t>Utah First Title</t>
  </si>
  <si>
    <t>Jessica Sanders</t>
  </si>
  <si>
    <t>592 S State, Orem, UT 84058</t>
  </si>
  <si>
    <t>(801) 226-5041</t>
  </si>
  <si>
    <t>mark@utahfirsttitle.com</t>
  </si>
  <si>
    <t>Utah Housing Corporation</t>
  </si>
  <si>
    <t>Ron C Winterton</t>
  </si>
  <si>
    <t>2479 South Lake Park Blvd, West Valley City, UT 84120</t>
  </si>
  <si>
    <t>(801) 902-8395</t>
  </si>
  <si>
    <t>Ron@WintertonMortgage.com</t>
  </si>
  <si>
    <t>Utah Oasis Homes</t>
  </si>
  <si>
    <t>Troy Shaw</t>
  </si>
  <si>
    <t>2052 W 700 S, #H, Springville, UT 84663</t>
  </si>
  <si>
    <t>(801) 859-3317</t>
  </si>
  <si>
    <t>utahoasishomes@gmail.com</t>
  </si>
  <si>
    <t>Utah Valley Chamber</t>
  </si>
  <si>
    <t>Curtis Blair</t>
  </si>
  <si>
    <t>2696 N University Ave, #220, Provo, UT 84604</t>
  </si>
  <si>
    <t>(801) 427-0882</t>
  </si>
  <si>
    <t>curtis@thechamber.org</t>
  </si>
  <si>
    <t>Utah Valley Magazine</t>
  </si>
  <si>
    <t>Jason Nelson</t>
  </si>
  <si>
    <t>424 W 800 N, #201, Orem, UT 84057</t>
  </si>
  <si>
    <t>(801) 802-0200</t>
  </si>
  <si>
    <t>jason@uvmag.com</t>
  </si>
  <si>
    <t>Utah Valley University</t>
  </si>
  <si>
    <t>Allan Gordon Mackay</t>
  </si>
  <si>
    <t>800 W University Pkwy, Orem, UT 84058</t>
  </si>
  <si>
    <t>(801) 376-6030</t>
  </si>
  <si>
    <t>allan.mackay@uvu.edu</t>
  </si>
  <si>
    <t>Utah Valley Videos</t>
  </si>
  <si>
    <t>Ron Aguilar</t>
  </si>
  <si>
    <t>922 S State Rd, Pleasant Grove, UT 84062</t>
  </si>
  <si>
    <t>(385) 374-9554</t>
  </si>
  <si>
    <t>utahvalleyvideos@gmail.com</t>
  </si>
  <si>
    <t>Utah Valley Window and Door</t>
  </si>
  <si>
    <t>Garry Marino</t>
  </si>
  <si>
    <t>7533 S Center View Ct, West Jordan, UT 84084</t>
  </si>
  <si>
    <t>(801) 899-9046</t>
  </si>
  <si>
    <t>utahvalleywindows@gmail.com</t>
  </si>
  <si>
    <t>Utah's Professional Lawn Care</t>
  </si>
  <si>
    <t>Gloria Uribe</t>
  </si>
  <si>
    <t>561 E Center St, Orem, UT 84097</t>
  </si>
  <si>
    <t>(801) 310-8730</t>
  </si>
  <si>
    <t>contact@uplawncare.com</t>
  </si>
  <si>
    <t>V 3 Construction, Inc.</t>
  </si>
  <si>
    <t>Kyle Vance</t>
  </si>
  <si>
    <t>6076 W 9860 S, West Jordan, UT 84081</t>
  </si>
  <si>
    <t>(801) 874-7020</t>
  </si>
  <si>
    <t>kyle@v3construction.com</t>
  </si>
  <si>
    <t>Valley Custom Homes</t>
  </si>
  <si>
    <t>Seth Hall</t>
  </si>
  <si>
    <t>376 N 200 E, Payson, UT 84651</t>
  </si>
  <si>
    <t>(801) 372-3745</t>
  </si>
  <si>
    <t>seth@hall-eng.com</t>
  </si>
  <si>
    <t>Valor Homes</t>
  </si>
  <si>
    <t>Eric Harper</t>
  </si>
  <si>
    <t>446 S 2020 W, Orem, UT 84059</t>
  </si>
  <si>
    <t>(801) 836-4451</t>
  </si>
  <si>
    <t>eharper@valorhomes.com</t>
  </si>
  <si>
    <t>Vanko Construction</t>
  </si>
  <si>
    <t>Chad Van Ausdal</t>
  </si>
  <si>
    <t>1366 S 370 E, Salem, UT 84653</t>
  </si>
  <si>
    <t>(801) 636-2005</t>
  </si>
  <si>
    <t>chad@designworksforyou.com</t>
  </si>
  <si>
    <t>Vasco Design LLC</t>
  </si>
  <si>
    <t>Carlos Argueta</t>
  </si>
  <si>
    <t>1850 W Ashton Blvd, #500, Lehi, UT 84043</t>
  </si>
  <si>
    <t>(801) 692-7924</t>
  </si>
  <si>
    <t>schedule@vascodesignllc.com</t>
  </si>
  <si>
    <t>Versatile Roofing Corporation</t>
  </si>
  <si>
    <t>Brad Vantassel</t>
  </si>
  <si>
    <t>109 S 500 W, Salem, UT 84653</t>
  </si>
  <si>
    <t>(801) 368-2329</t>
  </si>
  <si>
    <t>brad@thevrc.com</t>
  </si>
  <si>
    <t>Vidor Garage Door</t>
  </si>
  <si>
    <t>Richie Miller</t>
  </si>
  <si>
    <t>1543 W 1430 N, #200, Orem, UT 84057</t>
  </si>
  <si>
    <t>(801) 851-5724</t>
  </si>
  <si>
    <t>Sales@vidordoor.com</t>
  </si>
  <si>
    <t>Viking Const. &amp; Landscaping</t>
  </si>
  <si>
    <t>Andreas Hallberg</t>
  </si>
  <si>
    <t>99 W 600 W, Lindon, UT 84042</t>
  </si>
  <si>
    <t>(801) 787-8893</t>
  </si>
  <si>
    <t>andreas@builtbyvikings.com</t>
  </si>
  <si>
    <t>Vinyl Industries</t>
  </si>
  <si>
    <t>Robert Calton</t>
  </si>
  <si>
    <t>1350 E Main St, Lehi, UT 84043</t>
  </si>
  <si>
    <t>(801) 768-4794</t>
  </si>
  <si>
    <t>robertc@vifence.net</t>
  </si>
  <si>
    <t>Visionary Homes</t>
  </si>
  <si>
    <t>Eric Allen</t>
  </si>
  <si>
    <t>2054 W Grove Pkwy, #J, Pleasant Grove, UT 84062</t>
  </si>
  <si>
    <t>(435) 774-0438</t>
  </si>
  <si>
    <t>Eric.allen@visionaryhomes.com</t>
  </si>
  <si>
    <t>Vista Window &amp; Doors</t>
  </si>
  <si>
    <t>John Valdez</t>
  </si>
  <si>
    <t>1483 S Major Street, Salt Lake City, UT 84115</t>
  </si>
  <si>
    <t>(801) 718-4188</t>
  </si>
  <si>
    <t>jonv@vistawindowsutah.com</t>
  </si>
  <si>
    <t>Vzion Windows and Doors</t>
  </si>
  <si>
    <t>Hunter Thomsen</t>
  </si>
  <si>
    <t>(801) 919-7397</t>
  </si>
  <si>
    <t>hunter@vzionglass.com</t>
  </si>
  <si>
    <t>Walker Home Design</t>
  </si>
  <si>
    <t>Jamie Walker</t>
  </si>
  <si>
    <t>1981 Murray Holiday Rd, Salt Lake City, UT 84117</t>
  </si>
  <si>
    <t>(801) 930-9499</t>
  </si>
  <si>
    <t>charw@walkerhomedesign.com</t>
  </si>
  <si>
    <t>Warner &amp; Associates Const.</t>
  </si>
  <si>
    <t>T.J. Warner</t>
  </si>
  <si>
    <t>852 N 1430 W, Orem, UT 84057</t>
  </si>
  <si>
    <t>(801) 224-7282</t>
  </si>
  <si>
    <t>tj@warnerconst.com</t>
  </si>
  <si>
    <t>Wasatch Painting</t>
  </si>
  <si>
    <t>Tyler Tyson</t>
  </si>
  <si>
    <t>PO Box 56, Riverton, UT 84065</t>
  </si>
  <si>
    <t>(801) 870-3267</t>
  </si>
  <si>
    <t>tyler@wasatch-painting.com</t>
  </si>
  <si>
    <t>Wasatch Residential Group</t>
  </si>
  <si>
    <t>JD Neilson</t>
  </si>
  <si>
    <t>620 S State St, Salt Lake City, UT 84111</t>
  </si>
  <si>
    <t>(435) 961-1167</t>
  </si>
  <si>
    <t>jdn@wrgco.com</t>
  </si>
  <si>
    <t>Wasatch Truss, Inc</t>
  </si>
  <si>
    <t>Dave Ricard</t>
  </si>
  <si>
    <t>1893 N Chappel Dr, Spanish Fork, UT 84660</t>
  </si>
  <si>
    <t>(801) 798-2383</t>
  </si>
  <si>
    <t>dave@wasatchtruss.com</t>
  </si>
  <si>
    <t>Washington Federal</t>
  </si>
  <si>
    <t>Kuda Weight</t>
  </si>
  <si>
    <t>1207 E Draper Pkwy, Draper, UT 84020</t>
  </si>
  <si>
    <t>(801) 571-4271</t>
  </si>
  <si>
    <t>kuda.weight@wafd.com</t>
  </si>
  <si>
    <t>Waveny House</t>
  </si>
  <si>
    <t>Kristen Smith</t>
  </si>
  <si>
    <t>290 W 580 S, Orem, UT 84058</t>
  </si>
  <si>
    <t>(385) 292-6297</t>
  </si>
  <si>
    <t>kristen@wavenyhouse.com</t>
  </si>
  <si>
    <t>Wayne Knight Construction</t>
  </si>
  <si>
    <t>Wayne Knight</t>
  </si>
  <si>
    <t>2052 S 50 E, Orem, UT 84058</t>
  </si>
  <si>
    <t>(801) 225-9407</t>
  </si>
  <si>
    <t>theknight1950@gmail.com</t>
  </si>
  <si>
    <t>Weld West</t>
  </si>
  <si>
    <t>Quinn Morley</t>
  </si>
  <si>
    <t>9354 S 4800 W, Payson, UT 84651</t>
  </si>
  <si>
    <t>(385) 204-7351</t>
  </si>
  <si>
    <t>weldwestus@gmail.com</t>
  </si>
  <si>
    <t>Wellness USA</t>
  </si>
  <si>
    <t>Derek Fernholz</t>
  </si>
  <si>
    <t>14444 N 37th Place, Phoenix, AZ 85032</t>
  </si>
  <si>
    <t>(952) 207-6993</t>
  </si>
  <si>
    <t>dfernholz@wellness-usa.com</t>
  </si>
  <si>
    <t>Westco Carpets and Interiors</t>
  </si>
  <si>
    <t>Brad Belliston</t>
  </si>
  <si>
    <t>1814 N State St, Orem, UT 84057</t>
  </si>
  <si>
    <t>(801) 226-8512</t>
  </si>
  <si>
    <t>brad@westcocarpets.com</t>
  </si>
  <si>
    <t>Western Timber Frame</t>
  </si>
  <si>
    <t>Darren Dunn</t>
  </si>
  <si>
    <t>2181 S 3200 W, West Valley City, UT 84119</t>
  </si>
  <si>
    <t>(801) 331-6690</t>
  </si>
  <si>
    <t>darrend@westerntimberframe.com</t>
  </si>
  <si>
    <t>Westland Reserve</t>
  </si>
  <si>
    <t>Michael Tingey</t>
  </si>
  <si>
    <t>1411 W 1250 S, #200, Orem, UT 84058</t>
  </si>
  <si>
    <t>(801) 374-6085</t>
  </si>
  <si>
    <t>mtingey@westlandconstruction.com</t>
  </si>
  <si>
    <t>Whaley Construction</t>
  </si>
  <si>
    <t>Josh Whaley</t>
  </si>
  <si>
    <t>681 S 500 W, Lehi, UT 84043</t>
  </si>
  <si>
    <t>(801) 885-9216</t>
  </si>
  <si>
    <t>whaleyconstruction2015@gmail.com</t>
  </si>
  <si>
    <t>White Mountain Enterprises</t>
  </si>
  <si>
    <t>Corbyn Whittenburg</t>
  </si>
  <si>
    <t>11641 N Sunset Hills Dr, Highland, UT 84003</t>
  </si>
  <si>
    <t>(801) 979-5129</t>
  </si>
  <si>
    <t>whitemansionent@gmail.com</t>
  </si>
  <si>
    <t>Whitecap Enterprises</t>
  </si>
  <si>
    <t>Daniel Merryweather</t>
  </si>
  <si>
    <t>564 W 700 S, #201, Pleasant Grove, UT 84062</t>
  </si>
  <si>
    <t>(385) 541-2333</t>
  </si>
  <si>
    <t>dmerryweather@whitecapllc.net</t>
  </si>
  <si>
    <t>Whitehaven Builders LLC</t>
  </si>
  <si>
    <t>Brian Nuttall</t>
  </si>
  <si>
    <t>115 S Moonlit Rd, Mapleton, UT 84664</t>
  </si>
  <si>
    <t>(801) 369-0653</t>
  </si>
  <si>
    <t>whitehavenbuilders@gmail.com</t>
  </si>
  <si>
    <t>Whitewater</t>
  </si>
  <si>
    <t>Marc McCann</t>
  </si>
  <si>
    <t>195 S Geneva Rd, Lindon, UT 84042</t>
  </si>
  <si>
    <t>(801) 785-3554</t>
  </si>
  <si>
    <t>marc@whitewaterinc.com</t>
  </si>
  <si>
    <t>Wilson Built Construction LLC</t>
  </si>
  <si>
    <t>Joshua Wilson</t>
  </si>
  <si>
    <t>13305 Sunset Stream Way, Draper, UT 84020</t>
  </si>
  <si>
    <t>(801) 699-6255</t>
  </si>
  <si>
    <t>josh@wilsonbuiltut.com</t>
  </si>
  <si>
    <t>Wilson Construction Services</t>
  </si>
  <si>
    <t>Brad Wilson</t>
  </si>
  <si>
    <t>308 W Main St, Lehi, UT 84043</t>
  </si>
  <si>
    <t>(801) 404-0827</t>
  </si>
  <si>
    <t>bradwcs@me.com</t>
  </si>
  <si>
    <t>Window Genie of Provo</t>
  </si>
  <si>
    <t>Mitchell Wilson</t>
  </si>
  <si>
    <t>182 W Founders Blvd, Saratoga Springs, UT 84045</t>
  </si>
  <si>
    <t>(801) 623-6637</t>
  </si>
  <si>
    <t>provo.owner@windowgenie.com</t>
  </si>
  <si>
    <t>Window World</t>
  </si>
  <si>
    <t>Jason Davis</t>
  </si>
  <si>
    <t>1785 N Main, Spanish Fork, UT 84660</t>
  </si>
  <si>
    <t>(801) 556-9828</t>
  </si>
  <si>
    <t>jason@windowworldutah.com</t>
  </si>
  <si>
    <t>Wired West Electric</t>
  </si>
  <si>
    <t>Braiden Muniz</t>
  </si>
  <si>
    <t>117 E 950 S, Santaquin, UT 84655</t>
  </si>
  <si>
    <t>(385) 535-1038</t>
  </si>
  <si>
    <t>wiredwestutah@gmail.com</t>
  </si>
  <si>
    <t>WoodCastle Homes LLC</t>
  </si>
  <si>
    <t>Kristi Allen</t>
  </si>
  <si>
    <t>171 S Hawthorn Ct, Alpine, UT 84004</t>
  </si>
  <si>
    <t>(801) 608-6801</t>
  </si>
  <si>
    <t>kristi@mywoodcastlehome.com</t>
  </si>
  <si>
    <t>Wooded Hollow, Inc.</t>
  </si>
  <si>
    <t>Jady Day</t>
  </si>
  <si>
    <t>944 W Utah Ave, Payson, UT 84651</t>
  </si>
  <si>
    <t>(801) 836-1787</t>
  </si>
  <si>
    <t>woodedhollow@hotmail.com</t>
  </si>
  <si>
    <t>Wooden Things LLC</t>
  </si>
  <si>
    <t>Jesse Chidester</t>
  </si>
  <si>
    <t>783 W Wild Cherry Way, Grantsville, UT 84029</t>
  </si>
  <si>
    <t>(801) 491-8555</t>
  </si>
  <si>
    <t>awoodenthings@gmail.com</t>
  </si>
  <si>
    <t>Work of Iron, LLC</t>
  </si>
  <si>
    <t>Kelby Sayer</t>
  </si>
  <si>
    <t>1015 N 450 W, Springville, UT 84663</t>
  </si>
  <si>
    <t>(801) 598-9450</t>
  </si>
  <si>
    <t>kelbysayer@gmail.com</t>
  </si>
  <si>
    <t>Wrox, LLC</t>
  </si>
  <si>
    <t>Mark Willis</t>
  </si>
  <si>
    <t>1472 W 105 N, Orem, UT 84057</t>
  </si>
  <si>
    <t>(385) 412-9527</t>
  </si>
  <si>
    <t>mark@wrox.io</t>
  </si>
  <si>
    <t>Xinja Built</t>
  </si>
  <si>
    <t>Dan Hathaway</t>
  </si>
  <si>
    <t>396 S 1100 W, #2, Provo, UT 84601</t>
  </si>
  <si>
    <t>(385) 296-2186</t>
  </si>
  <si>
    <t>Xinjabuilt@gmail.com</t>
  </si>
  <si>
    <t>Yeti Welding</t>
  </si>
  <si>
    <t>Dillon Hales</t>
  </si>
  <si>
    <t>424 N 200 W, Spanish Fork, UT 84660</t>
  </si>
  <si>
    <t>(801) 471-1531</t>
  </si>
  <si>
    <t>halesdill@gmail.com</t>
  </si>
  <si>
    <t>Zamp HR</t>
  </si>
  <si>
    <t>Isaac Allred</t>
  </si>
  <si>
    <t>384 S 400 W, #120, Lindon, UT 84042</t>
  </si>
  <si>
    <t>(801) 377-1190</t>
  </si>
  <si>
    <t>isaac@zamphr.com</t>
  </si>
  <si>
    <t/>
  </si>
  <si>
    <t>Phone Number</t>
  </si>
  <si>
    <t>Category Filled</t>
  </si>
  <si>
    <t>Acoustic Specialists</t>
  </si>
  <si>
    <t>Additions</t>
  </si>
  <si>
    <t>Advertising/Promotions</t>
  </si>
  <si>
    <t>Air Barriers</t>
  </si>
  <si>
    <t>Appliances</t>
  </si>
  <si>
    <t>Mountain Land Design</t>
  </si>
  <si>
    <t>(801) 466-0990</t>
  </si>
  <si>
    <t>Accounting</t>
  </si>
  <si>
    <t>Architectural Services</t>
  </si>
  <si>
    <t>(719) 331-9296</t>
  </si>
  <si>
    <t>Banks</t>
  </si>
  <si>
    <t>AltaBank</t>
  </si>
  <si>
    <t>(801) 642-3416</t>
  </si>
  <si>
    <t>Zions Bank</t>
  </si>
  <si>
    <t>(801) 370-4100</t>
  </si>
  <si>
    <t>Building Materials/Supplies</t>
  </si>
  <si>
    <t>Mountainview Builders Supply, Inc</t>
  </si>
  <si>
    <t>(801) 523-8382</t>
  </si>
  <si>
    <t>(801) 380-4670</t>
  </si>
  <si>
    <t>Cabinets</t>
  </si>
  <si>
    <t>Built Cabinets</t>
  </si>
  <si>
    <t>(385) 384-0018</t>
  </si>
  <si>
    <t>Christopher Scott Cabinetry</t>
  </si>
  <si>
    <t>(801) 319-0213</t>
  </si>
  <si>
    <t>Closet Factory</t>
  </si>
  <si>
    <t>(801) 972-5757</t>
  </si>
  <si>
    <t>Precision Woodworking, Inc</t>
  </si>
  <si>
    <t>R &amp; M Woods Inc</t>
  </si>
  <si>
    <t>Wooded Hollow, Inc</t>
  </si>
  <si>
    <t>Cleaning Services</t>
  </si>
  <si>
    <t>Concrete Contractors</t>
  </si>
  <si>
    <t>DM Concrete Inc</t>
  </si>
  <si>
    <t>Viking Construction &amp; Landscaping</t>
  </si>
  <si>
    <t>Countertops</t>
  </si>
  <si>
    <t>The Stone Shop, Inc</t>
  </si>
  <si>
    <t>Custom Homebuilders</t>
  </si>
  <si>
    <t>10X Builders Inc</t>
  </si>
  <si>
    <t>Cambridge Home Company Construction</t>
  </si>
  <si>
    <t>Edgepoint Builders</t>
  </si>
  <si>
    <t>Grove Homes LLC</t>
  </si>
  <si>
    <t>(801) 921-0378</t>
  </si>
  <si>
    <t>Hacking Construction, Inc</t>
  </si>
  <si>
    <t>(801) 372-6069</t>
  </si>
  <si>
    <t>Hansbrow Construction</t>
  </si>
  <si>
    <t>Harper &amp; Company, Inc</t>
  </si>
  <si>
    <t>JT Homes, Inc</t>
  </si>
  <si>
    <t>Kodiak Builders Inc</t>
  </si>
  <si>
    <t>R.J. Lewis, Inc</t>
  </si>
  <si>
    <t>(801) 691-6957</t>
  </si>
  <si>
    <t>Robison Build Co. Inc</t>
  </si>
  <si>
    <t>(801) 318-4456</t>
  </si>
  <si>
    <t>Steven Dailey Construction, Inc</t>
  </si>
  <si>
    <t>Tuscany Builders Inc</t>
  </si>
  <si>
    <t>Deck Coatings</t>
  </si>
  <si>
    <t>Electrical Contractors</t>
  </si>
  <si>
    <t>Alpine Electric Services</t>
  </si>
  <si>
    <t>(801) 822-9920</t>
  </si>
  <si>
    <t>(801) 888-8202</t>
  </si>
  <si>
    <t>Excavating Contractors</t>
  </si>
  <si>
    <t>HOLYOAK X LLC</t>
  </si>
  <si>
    <t>Mitchell Excavation Inc</t>
  </si>
  <si>
    <t>Utan's Professional Lawn Care</t>
  </si>
  <si>
    <t>Flooring</t>
  </si>
  <si>
    <t>1-385-377-4119</t>
  </si>
  <si>
    <t>Evolution Flooring Inc</t>
  </si>
  <si>
    <t>Ogden's Flooring &amp; Design-Lehi</t>
  </si>
  <si>
    <t>Garage &amp; Overhead Doors</t>
  </si>
  <si>
    <t>All Star Garage Doors, Inc</t>
  </si>
  <si>
    <t>Heating/AC</t>
  </si>
  <si>
    <t>Air Source Heating &amp; Cooling Inc</t>
  </si>
  <si>
    <t>Excel Heating &amp; Air Conditioning Service, Inc</t>
  </si>
  <si>
    <t>Exclusive Air Systerns, Inc</t>
  </si>
  <si>
    <t>Gunthers Comfort Air</t>
  </si>
  <si>
    <t>(801) 756-9683</t>
  </si>
  <si>
    <t>Jones Mechanical, Inc</t>
  </si>
  <si>
    <t>Interior Design</t>
  </si>
  <si>
    <t>Chanelle Design Co</t>
  </si>
  <si>
    <t>(520) 668-9422</t>
  </si>
  <si>
    <t>Chelsea K Designs</t>
  </si>
  <si>
    <t>(801) 400-0954</t>
  </si>
  <si>
    <t>Designs by Heather Ford</t>
  </si>
  <si>
    <t>(385) 268-8195</t>
  </si>
  <si>
    <t>Eclectic Design Co. LL.C</t>
  </si>
  <si>
    <t>Landscaping Design &amp; Services</t>
  </si>
  <si>
    <t>123BUILT</t>
  </si>
  <si>
    <t>(801) 319-9019</t>
  </si>
  <si>
    <t>Chopper Landscaping</t>
  </si>
  <si>
    <t>(801) 666-9428</t>
  </si>
  <si>
    <t>D&amp;T Landscaping and Maintenance</t>
  </si>
  <si>
    <t>(801) 830-4176</t>
  </si>
  <si>
    <t>Epic Landscapes and Maintenance</t>
  </si>
  <si>
    <t>FRDM Turt</t>
  </si>
  <si>
    <t>Sunline Landscapes</t>
  </si>
  <si>
    <t>(801) 253-6434</t>
  </si>
  <si>
    <t>(801) 592-6848</t>
  </si>
  <si>
    <t>The Patio Butier</t>
  </si>
  <si>
    <t>Lumber</t>
  </si>
  <si>
    <t>Huber Engineered Woods</t>
  </si>
  <si>
    <t>(801) 471-3854</t>
  </si>
  <si>
    <t>Mortgages/Construction Loans</t>
  </si>
  <si>
    <t>Guaranteed Rate Affinity, LLC</t>
  </si>
  <si>
    <t>(801) 563-2801</t>
  </si>
  <si>
    <t>Plumbing Contractors</t>
  </si>
  <si>
    <t>DCD Plumbing, Inc</t>
  </si>
  <si>
    <t>Skyline Plumbing &amp; Mechanical inc</t>
  </si>
  <si>
    <t>Remodelers</t>
  </si>
  <si>
    <t>Roofing Contractors</t>
  </si>
  <si>
    <t>Bartile Roofs, Inc</t>
  </si>
  <si>
    <t>Teton Roofing Inc</t>
  </si>
  <si>
    <t>Title &amp; Escrow</t>
  </si>
  <si>
    <t>Northern Title</t>
  </si>
  <si>
    <t>(801) 704-5280</t>
  </si>
  <si>
    <t>(801) 753-7700</t>
  </si>
  <si>
    <t>Pro-Title &amp; Escrow Inc</t>
  </si>
  <si>
    <t>Windows &amp; Doors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</si>
</sst>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8.5"/>
    <col customWidth="1" min="3" max="3" width="30.25"/>
    <col customWidth="1" min="4" max="4" width="47.63"/>
    <col customWidth="1" min="5" max="5" width="23.5"/>
    <col customWidth="1" min="6" max="6" width="34.1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tr">
        <f t="array" ref="A2">XLOOKUP(B2&amp;E2, Sheet1!B2:B397&amp;Sheet1!C2:C397, Sheet1!A2:C397, "Category Not Found", 0)</f>
        <v>#N/A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tr">
        <f t="array" ref="G2:G3">IF(ISBLANK(B2:B795), "", XLOOKUP(B2:B795, Sheet1!D2:D397, Sheet1!B2:B161, "Category Not Found", 0))</f>
        <v>#REF!</v>
      </c>
    </row>
    <row r="3">
      <c r="A3" s="1"/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tr">
        <f t="array" ref="G3:G4">IF(ISBLANK(B3:B796), "", XLOOKUP(B3:B796, Sheet1!A3:A162, Sheet1!C3:C162, "Category Not Found", 0))</f>
        <v>#REF!</v>
      </c>
    </row>
    <row r="4">
      <c r="A4" s="1"/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tr">
        <f t="array" ref="G4:G5">IF(ISBLANK(B4:B797), "", XLOOKUP(B4:B797, Sheet1!A4:A163, Sheet1!C4:C163, "Category Not Found", 0))</f>
        <v>#REF!</v>
      </c>
    </row>
    <row r="5">
      <c r="A5" s="1"/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tr">
        <f t="array" ref="G5:G6">IF(ISBLANK(B5:B798), "", XLOOKUP(B5:B798, Sheet1!A5:A164, Sheet1!C5:C164, "Category Not Found", 0))</f>
        <v>#REF!</v>
      </c>
    </row>
    <row r="6">
      <c r="A6" s="1"/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tr">
        <f t="array" ref="G6:G7">IF(ISBLANK(B6:B799), "", XLOOKUP(B6:B799, Sheet1!A6:A165, Sheet1!C6:C165, "Category Not Found", 0))</f>
        <v>#REF!</v>
      </c>
    </row>
    <row r="7">
      <c r="A7" s="1"/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tr">
        <f t="array" ref="G7:G8">IF(ISBLANK(B7:B800), "", XLOOKUP(B7:B800, Sheet1!A7:A166, Sheet1!C7:C166, "Category Not Found", 0))</f>
        <v>#REF!</v>
      </c>
    </row>
    <row r="8">
      <c r="A8" s="1"/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tr">
        <f t="array" ref="G8:G9">IF(ISBLANK(B8:B801), "", XLOOKUP(B8:B801, Sheet1!A8:A167, Sheet1!C8:C167, "Category Not Found", 0))</f>
        <v>#REF!</v>
      </c>
    </row>
    <row r="9">
      <c r="A9" s="1"/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tr">
        <f t="array" ref="G9:G10">IF(ISBLANK(B9:B802), "", XLOOKUP(B9:B802, Sheet1!A9:A168, Sheet1!C9:C168, "Category Not Found", 0))</f>
        <v>#REF!</v>
      </c>
    </row>
    <row r="10">
      <c r="A10" s="1"/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tr">
        <f t="array" ref="G10:G11">IF(ISBLANK(B10:B803), "", XLOOKUP(B10:B803, Sheet1!A10:A169, Sheet1!C10:C169, "Category Not Found", 0))</f>
        <v>#REF!</v>
      </c>
    </row>
    <row r="11">
      <c r="A11" s="1"/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  <c r="G11" s="1" t="str">
        <f t="array" ref="G11:G12">IF(ISBLANK(B11:B804), "", XLOOKUP(B11:B804, Sheet1!A11:A170, Sheet1!C11:C170, "Category Not Found", 0))</f>
        <v>#REF!</v>
      </c>
    </row>
    <row r="12">
      <c r="A12" s="1"/>
      <c r="B12" s="1" t="s">
        <v>56</v>
      </c>
      <c r="C12" s="1" t="s">
        <v>42</v>
      </c>
      <c r="D12" s="1" t="s">
        <v>43</v>
      </c>
      <c r="E12" s="1" t="s">
        <v>57</v>
      </c>
      <c r="F12" s="1" t="s">
        <v>58</v>
      </c>
      <c r="G12" s="1" t="str">
        <f t="array" ref="G12:G13">IF(ISBLANK(B12:B805), "", XLOOKUP(B12:B805, Sheet1!A12:A171, Sheet1!C12:C171, "Category Not Found", 0))</f>
        <v>#REF!</v>
      </c>
    </row>
    <row r="13">
      <c r="A13" s="1"/>
      <c r="B13" s="1" t="s">
        <v>59</v>
      </c>
      <c r="C13" s="1" t="s">
        <v>60</v>
      </c>
      <c r="D13" s="1" t="s">
        <v>61</v>
      </c>
      <c r="E13" s="1" t="s">
        <v>62</v>
      </c>
      <c r="F13" s="1" t="s">
        <v>63</v>
      </c>
      <c r="G13" s="1" t="str">
        <f t="array" ref="G13:G14">IF(ISBLANK(B13:B806), "", XLOOKUP(B13:B806, Sheet1!A13:A172, Sheet1!C13:C172, "Category Not Found", 0))</f>
        <v>#REF!</v>
      </c>
    </row>
    <row r="14">
      <c r="A14" s="1"/>
      <c r="B14" s="1" t="s">
        <v>64</v>
      </c>
      <c r="C14" s="1" t="s">
        <v>65</v>
      </c>
      <c r="D14" s="1" t="s">
        <v>66</v>
      </c>
      <c r="E14" s="1" t="s">
        <v>67</v>
      </c>
      <c r="F14" s="1" t="s">
        <v>68</v>
      </c>
      <c r="G14" s="1" t="str">
        <f t="array" ref="G14:G15">IF(ISBLANK(B14:B807), "", XLOOKUP(B14:B807, Sheet1!A14:A173, Sheet1!C14:C173, "Category Not Found", 0))</f>
        <v>#REF!</v>
      </c>
    </row>
    <row r="15">
      <c r="A15" s="1"/>
      <c r="B15" s="1" t="s">
        <v>69</v>
      </c>
      <c r="C15" s="1" t="s">
        <v>70</v>
      </c>
      <c r="D15" s="1" t="s">
        <v>71</v>
      </c>
      <c r="E15" s="1" t="s">
        <v>72</v>
      </c>
      <c r="F15" s="1" t="s">
        <v>73</v>
      </c>
      <c r="G15" s="1" t="str">
        <f t="array" ref="G15:G16">IF(ISBLANK(B15:B808), "", XLOOKUP(B15:B808, Sheet1!A15:A174, Sheet1!C15:C174, "Category Not Found", 0))</f>
        <v>#REF!</v>
      </c>
    </row>
    <row r="16">
      <c r="A16" s="1"/>
      <c r="B16" s="1" t="s">
        <v>74</v>
      </c>
      <c r="C16" s="1" t="s">
        <v>75</v>
      </c>
      <c r="D16" s="1" t="s">
        <v>76</v>
      </c>
      <c r="E16" s="1" t="s">
        <v>77</v>
      </c>
      <c r="F16" s="1" t="s">
        <v>78</v>
      </c>
      <c r="G16" s="1" t="str">
        <f t="array" ref="G16:G17">IF(ISBLANK(B16:B809), "", XLOOKUP(B16:B809, Sheet1!A16:A175, Sheet1!C16:C175, "Category Not Found", 0))</f>
        <v>#REF!</v>
      </c>
    </row>
    <row r="17">
      <c r="A17" s="1"/>
      <c r="B17" s="1" t="s">
        <v>79</v>
      </c>
      <c r="C17" s="1" t="s">
        <v>80</v>
      </c>
      <c r="D17" s="1" t="s">
        <v>81</v>
      </c>
      <c r="E17" s="1" t="s">
        <v>82</v>
      </c>
      <c r="F17" s="1" t="s">
        <v>83</v>
      </c>
      <c r="G17" s="1" t="str">
        <f t="array" ref="G17:G18">IF(ISBLANK(B17:B810), "", XLOOKUP(B17:B810, Sheet1!A17:A176, Sheet1!C17:C176, "Category Not Found", 0))</f>
        <v>#REF!</v>
      </c>
    </row>
    <row r="18">
      <c r="A18" s="1"/>
      <c r="B18" s="1" t="s">
        <v>84</v>
      </c>
      <c r="C18" s="1" t="s">
        <v>85</v>
      </c>
      <c r="D18" s="1" t="s">
        <v>86</v>
      </c>
      <c r="E18" s="1" t="s">
        <v>87</v>
      </c>
      <c r="F18" s="1" t="s">
        <v>88</v>
      </c>
      <c r="G18" s="1" t="str">
        <f t="array" ref="G18:G19">IF(ISBLANK(B18:B811), "", XLOOKUP(B18:B811, Sheet1!A18:A177, Sheet1!C18:C177, "Category Not Found", 0))</f>
        <v>#REF!</v>
      </c>
    </row>
    <row r="19">
      <c r="A19" s="1"/>
      <c r="B19" s="1" t="s">
        <v>89</v>
      </c>
      <c r="C19" s="1" t="s">
        <v>90</v>
      </c>
      <c r="D19" s="1" t="s">
        <v>91</v>
      </c>
      <c r="E19" s="1" t="s">
        <v>92</v>
      </c>
      <c r="F19" s="1" t="s">
        <v>93</v>
      </c>
      <c r="G19" s="1" t="str">
        <f t="array" ref="G19:G20">IF(ISBLANK(B19:B812), "", XLOOKUP(B19:B812, Sheet1!A19:A178, Sheet1!C19:C178, "Category Not Found", 0))</f>
        <v>#REF!</v>
      </c>
    </row>
    <row r="20">
      <c r="A20" s="1"/>
      <c r="B20" s="1" t="s">
        <v>94</v>
      </c>
      <c r="C20" s="1" t="s">
        <v>95</v>
      </c>
      <c r="D20" s="1" t="s">
        <v>96</v>
      </c>
      <c r="E20" s="1" t="s">
        <v>29</v>
      </c>
      <c r="F20" s="1" t="s">
        <v>97</v>
      </c>
      <c r="G20" s="1" t="str">
        <f t="array" ref="G20:G21">IF(ISBLANK(B20:B813), "", XLOOKUP(B20:B813, Sheet1!A20:A179, Sheet1!C20:C179, "Category Not Found", 0))</f>
        <v>#REF!</v>
      </c>
    </row>
    <row r="21">
      <c r="A21" s="1"/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  <c r="G21" s="1" t="str">
        <f t="array" ref="G21:G22">IF(ISBLANK(B21:B814), "", XLOOKUP(B21:B814, Sheet1!A21:A180, Sheet1!C21:C180, "Category Not Found", 0))</f>
        <v>#REF!</v>
      </c>
    </row>
    <row r="22">
      <c r="A22" s="1"/>
      <c r="B22" s="1" t="s">
        <v>103</v>
      </c>
      <c r="C22" s="1" t="s">
        <v>104</v>
      </c>
      <c r="D22" s="1" t="s">
        <v>105</v>
      </c>
      <c r="E22" s="1" t="s">
        <v>106</v>
      </c>
      <c r="F22" s="1" t="s">
        <v>107</v>
      </c>
      <c r="G22" s="1" t="str">
        <f t="array" ref="G22:G23">IF(ISBLANK(B22:B815), "", XLOOKUP(B22:B815, Sheet1!A22:A181, Sheet1!C22:C181, "Category Not Found", 0))</f>
        <v>#REF!</v>
      </c>
    </row>
    <row r="23">
      <c r="A23" s="1"/>
      <c r="B23" s="1" t="s">
        <v>108</v>
      </c>
      <c r="C23" s="1" t="s">
        <v>109</v>
      </c>
      <c r="D23" s="1" t="s">
        <v>110</v>
      </c>
      <c r="E23" s="1" t="s">
        <v>111</v>
      </c>
      <c r="F23" s="1" t="s">
        <v>112</v>
      </c>
      <c r="G23" s="1" t="str">
        <f t="array" ref="G23:G24">IF(ISBLANK(B23:B816), "", XLOOKUP(B23:B816, Sheet1!A23:A182, Sheet1!C23:C182, "Category Not Found", 0))</f>
        <v>#REF!</v>
      </c>
    </row>
    <row r="24">
      <c r="A24" s="1"/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117</v>
      </c>
      <c r="G24" s="1" t="str">
        <f t="array" ref="G24:G25">IF(ISBLANK(B24:B817), "", XLOOKUP(B24:B817, Sheet1!A24:A183, Sheet1!C24:C183, "Category Not Found", 0))</f>
        <v>#REF!</v>
      </c>
    </row>
    <row r="25">
      <c r="A25" s="1"/>
      <c r="B25" s="1" t="s">
        <v>118</v>
      </c>
      <c r="C25" s="1" t="s">
        <v>119</v>
      </c>
      <c r="D25" s="1" t="s">
        <v>120</v>
      </c>
      <c r="E25" s="1" t="s">
        <v>121</v>
      </c>
      <c r="F25" s="1" t="s">
        <v>122</v>
      </c>
      <c r="G25" s="1" t="str">
        <f t="array" ref="G25:G26">IF(ISBLANK(B25:B818), "", XLOOKUP(B25:B818, Sheet1!A25:A184, Sheet1!C25:C184, "Category Not Found", 0))</f>
        <v>#REF!</v>
      </c>
    </row>
    <row r="26">
      <c r="A26" s="1"/>
      <c r="B26" s="1" t="s">
        <v>123</v>
      </c>
      <c r="C26" s="1" t="s">
        <v>124</v>
      </c>
      <c r="D26" s="1" t="s">
        <v>125</v>
      </c>
      <c r="E26" s="1" t="s">
        <v>126</v>
      </c>
      <c r="F26" s="1" t="s">
        <v>127</v>
      </c>
      <c r="G26" s="1" t="str">
        <f t="array" ref="G26:G27">IF(ISBLANK(B26:B819), "", XLOOKUP(B26:B819, Sheet1!A26:A185, Sheet1!C26:C185, "Category Not Found", 0))</f>
        <v>#REF!</v>
      </c>
    </row>
    <row r="27">
      <c r="A27" s="1"/>
      <c r="B27" s="1" t="s">
        <v>128</v>
      </c>
      <c r="C27" s="1" t="s">
        <v>129</v>
      </c>
      <c r="D27" s="1" t="s">
        <v>130</v>
      </c>
      <c r="E27" s="1" t="s">
        <v>131</v>
      </c>
      <c r="F27" s="1" t="s">
        <v>132</v>
      </c>
      <c r="G27" s="1" t="str">
        <f t="array" ref="G27:G28">IF(ISBLANK(B27:B820), "", XLOOKUP(B27:B820, Sheet1!A27:A186, Sheet1!C27:C186, "Category Not Found", 0))</f>
        <v>#REF!</v>
      </c>
    </row>
    <row r="28">
      <c r="A28" s="1"/>
      <c r="B28" s="1" t="s">
        <v>133</v>
      </c>
      <c r="C28" s="1" t="s">
        <v>134</v>
      </c>
      <c r="D28" s="1" t="s">
        <v>135</v>
      </c>
      <c r="E28" s="1" t="s">
        <v>136</v>
      </c>
      <c r="F28" s="1" t="s">
        <v>137</v>
      </c>
      <c r="G28" s="1" t="str">
        <f t="array" ref="G28:G29">IF(ISBLANK(B28:B821), "", XLOOKUP(B28:B821, Sheet1!A28:A187, Sheet1!C28:C187, "Category Not Found", 0))</f>
        <v>#REF!</v>
      </c>
    </row>
    <row r="29">
      <c r="A29" s="1"/>
      <c r="B29" s="1" t="s">
        <v>138</v>
      </c>
      <c r="C29" s="1" t="s">
        <v>139</v>
      </c>
      <c r="D29" s="1" t="s">
        <v>140</v>
      </c>
      <c r="E29" s="1" t="s">
        <v>141</v>
      </c>
      <c r="F29" s="1" t="s">
        <v>142</v>
      </c>
      <c r="G29" s="1" t="str">
        <f t="array" ref="G29:G30">IF(ISBLANK(B29:B822), "", XLOOKUP(B29:B822, Sheet1!A29:A188, Sheet1!C29:C188, "Category Not Found", 0))</f>
        <v>#REF!</v>
      </c>
    </row>
    <row r="30">
      <c r="A30" s="1"/>
      <c r="B30" s="1" t="s">
        <v>143</v>
      </c>
      <c r="C30" s="1" t="s">
        <v>144</v>
      </c>
      <c r="D30" s="1" t="s">
        <v>145</v>
      </c>
      <c r="E30" s="1" t="s">
        <v>146</v>
      </c>
      <c r="F30" s="1" t="s">
        <v>147</v>
      </c>
      <c r="G30" s="1" t="str">
        <f t="array" ref="G30:G31">IF(ISBLANK(B30:B823), "", XLOOKUP(B30:B823, Sheet1!A30:A189, Sheet1!C30:C189, "Category Not Found", 0))</f>
        <v>#REF!</v>
      </c>
    </row>
    <row r="31">
      <c r="A31" s="1"/>
      <c r="B31" s="1" t="s">
        <v>148</v>
      </c>
      <c r="C31" s="1" t="s">
        <v>149</v>
      </c>
      <c r="D31" s="1" t="s">
        <v>150</v>
      </c>
      <c r="E31" s="1" t="s">
        <v>151</v>
      </c>
      <c r="F31" s="1" t="s">
        <v>152</v>
      </c>
      <c r="G31" s="1" t="str">
        <f t="array" ref="G31:G32">IF(ISBLANK(B31:B824), "", XLOOKUP(B31:B824, Sheet1!A31:A190, Sheet1!C31:C190, "Category Not Found", 0))</f>
        <v>#REF!</v>
      </c>
    </row>
    <row r="32">
      <c r="A32" s="1"/>
      <c r="B32" s="1" t="s">
        <v>153</v>
      </c>
      <c r="C32" s="1" t="s">
        <v>154</v>
      </c>
      <c r="D32" s="1" t="s">
        <v>155</v>
      </c>
      <c r="E32" s="1" t="s">
        <v>156</v>
      </c>
      <c r="F32" s="1" t="s">
        <v>157</v>
      </c>
      <c r="G32" s="1" t="str">
        <f t="array" ref="G32:G33">IF(ISBLANK(B32:B825), "", XLOOKUP(B32:B825, Sheet1!A32:A191, Sheet1!C32:C191, "Category Not Found", 0))</f>
        <v>#REF!</v>
      </c>
    </row>
    <row r="33">
      <c r="A33" s="1"/>
      <c r="B33" s="1" t="s">
        <v>158</v>
      </c>
      <c r="C33" s="1" t="s">
        <v>159</v>
      </c>
      <c r="D33" s="1" t="s">
        <v>160</v>
      </c>
      <c r="E33" s="1" t="s">
        <v>161</v>
      </c>
      <c r="F33" s="1" t="s">
        <v>162</v>
      </c>
      <c r="G33" s="1" t="str">
        <f t="array" ref="G33:G34">IF(ISBLANK(B33:B826), "", XLOOKUP(B33:B826, Sheet1!A33:A192, Sheet1!C33:C192, "Category Not Found", 0))</f>
        <v>#REF!</v>
      </c>
    </row>
    <row r="34">
      <c r="A34" s="1"/>
      <c r="B34" s="1" t="s">
        <v>163</v>
      </c>
      <c r="C34" s="1" t="s">
        <v>164</v>
      </c>
      <c r="D34" s="1" t="s">
        <v>165</v>
      </c>
      <c r="E34" s="1" t="s">
        <v>166</v>
      </c>
      <c r="F34" s="1" t="s">
        <v>167</v>
      </c>
      <c r="G34" s="1" t="str">
        <f t="array" ref="G34:G35">IF(ISBLANK(B34:B827), "", XLOOKUP(B34:B827, Sheet1!A34:A193, Sheet1!C34:C193, "Category Not Found", 0))</f>
        <v>#REF!</v>
      </c>
    </row>
    <row r="35">
      <c r="A35" s="1"/>
      <c r="B35" s="1" t="s">
        <v>168</v>
      </c>
      <c r="C35" s="1" t="s">
        <v>169</v>
      </c>
      <c r="D35" s="1" t="s">
        <v>170</v>
      </c>
      <c r="E35" s="1" t="s">
        <v>171</v>
      </c>
      <c r="F35" s="1" t="s">
        <v>172</v>
      </c>
      <c r="G35" s="1" t="str">
        <f t="array" ref="G35:G36">IF(ISBLANK(B35:B828), "", XLOOKUP(B35:B828, Sheet1!A35:A194, Sheet1!C35:C194, "Category Not Found", 0))</f>
        <v>#REF!</v>
      </c>
    </row>
    <row r="36">
      <c r="A36" s="1"/>
      <c r="B36" s="1" t="s">
        <v>173</v>
      </c>
      <c r="C36" s="1" t="s">
        <v>174</v>
      </c>
      <c r="D36" s="1" t="s">
        <v>175</v>
      </c>
      <c r="E36" s="1" t="s">
        <v>176</v>
      </c>
      <c r="F36" s="1" t="s">
        <v>177</v>
      </c>
      <c r="G36" s="1" t="str">
        <f t="array" ref="G36:G37">IF(ISBLANK(B36:B829), "", XLOOKUP(B36:B829, Sheet1!A36:A195, Sheet1!C36:C195, "Category Not Found", 0))</f>
        <v>#REF!</v>
      </c>
    </row>
    <row r="37">
      <c r="A37" s="1"/>
      <c r="B37" s="1" t="s">
        <v>178</v>
      </c>
      <c r="C37" s="1" t="s">
        <v>179</v>
      </c>
      <c r="D37" s="1" t="s">
        <v>180</v>
      </c>
      <c r="E37" s="1" t="s">
        <v>181</v>
      </c>
      <c r="F37" s="1" t="s">
        <v>182</v>
      </c>
      <c r="G37" s="1" t="str">
        <f t="array" ref="G37:G38">IF(ISBLANK(B37:B830), "", XLOOKUP(B37:B830, Sheet1!A37:A196, Sheet1!C37:C196, "Category Not Found", 0))</f>
        <v>#REF!</v>
      </c>
    </row>
    <row r="38">
      <c r="A38" s="1"/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187</v>
      </c>
      <c r="G38" s="1" t="str">
        <f t="array" ref="G38:G39">IF(ISBLANK(B38:B831), "", XLOOKUP(B38:B831, Sheet1!A38:A197, Sheet1!C38:C197, "Category Not Found", 0))</f>
        <v>#REF!</v>
      </c>
    </row>
    <row r="39">
      <c r="A39" s="1"/>
      <c r="B39" s="1" t="s">
        <v>188</v>
      </c>
      <c r="C39" s="1" t="s">
        <v>189</v>
      </c>
      <c r="D39" s="1" t="s">
        <v>190</v>
      </c>
      <c r="E39" s="1" t="s">
        <v>191</v>
      </c>
      <c r="F39" s="1" t="s">
        <v>192</v>
      </c>
      <c r="G39" s="1" t="str">
        <f t="array" ref="G39:G40">IF(ISBLANK(B39:B832), "", XLOOKUP(B39:B832, Sheet1!A39:A198, Sheet1!C39:C198, "Category Not Found", 0))</f>
        <v>#REF!</v>
      </c>
    </row>
    <row r="40">
      <c r="A40" s="1"/>
      <c r="B40" s="1" t="s">
        <v>193</v>
      </c>
      <c r="C40" s="1" t="s">
        <v>194</v>
      </c>
      <c r="D40" s="1" t="s">
        <v>195</v>
      </c>
      <c r="E40" s="1" t="s">
        <v>196</v>
      </c>
      <c r="F40" s="1" t="s">
        <v>197</v>
      </c>
      <c r="G40" s="1" t="str">
        <f t="array" ref="G40:G41">IF(ISBLANK(B40:B833), "", XLOOKUP(B40:B833, Sheet1!A40:A199, Sheet1!C40:C199, "Category Not Found", 0))</f>
        <v>#REF!</v>
      </c>
    </row>
    <row r="41">
      <c r="A41" s="1"/>
      <c r="B41" s="1" t="s">
        <v>198</v>
      </c>
      <c r="C41" s="1" t="s">
        <v>199</v>
      </c>
      <c r="D41" s="1" t="s">
        <v>200</v>
      </c>
      <c r="E41" s="1" t="s">
        <v>201</v>
      </c>
      <c r="F41" s="1" t="s">
        <v>202</v>
      </c>
      <c r="G41" s="1" t="str">
        <f t="array" ref="G41:G42">IF(ISBLANK(B41:B834), "", XLOOKUP(B41:B834, Sheet1!A41:A200, Sheet1!C41:C200, "Category Not Found", 0))</f>
        <v>#REF!</v>
      </c>
    </row>
    <row r="42">
      <c r="A42" s="1"/>
      <c r="B42" s="1" t="s">
        <v>203</v>
      </c>
      <c r="C42" s="1" t="s">
        <v>204</v>
      </c>
      <c r="D42" s="1" t="s">
        <v>205</v>
      </c>
      <c r="E42" s="1" t="s">
        <v>206</v>
      </c>
      <c r="F42" s="1" t="s">
        <v>207</v>
      </c>
      <c r="G42" s="1" t="str">
        <f t="array" ref="G42:G43">IF(ISBLANK(B42:B835), "", XLOOKUP(B42:B835, Sheet1!A42:A201, Sheet1!C42:C201, "Category Not Found", 0))</f>
        <v>#REF!</v>
      </c>
    </row>
    <row r="43">
      <c r="A43" s="1"/>
      <c r="B43" s="1" t="s">
        <v>208</v>
      </c>
      <c r="C43" s="1" t="s">
        <v>209</v>
      </c>
      <c r="D43" s="1" t="s">
        <v>210</v>
      </c>
      <c r="E43" s="1" t="s">
        <v>211</v>
      </c>
      <c r="F43" s="1" t="s">
        <v>212</v>
      </c>
      <c r="G43" s="1" t="str">
        <f t="array" ref="G43:G44">IF(ISBLANK(B43:B836), "", XLOOKUP(B43:B836, Sheet1!A43:A202, Sheet1!C43:C202, "Category Not Found", 0))</f>
        <v>#REF!</v>
      </c>
    </row>
    <row r="44">
      <c r="A44" s="1"/>
      <c r="B44" s="1" t="s">
        <v>213</v>
      </c>
      <c r="C44" s="1" t="s">
        <v>214</v>
      </c>
      <c r="D44" s="1" t="s">
        <v>215</v>
      </c>
      <c r="E44" s="1" t="s">
        <v>216</v>
      </c>
      <c r="F44" s="1" t="s">
        <v>217</v>
      </c>
      <c r="G44" s="1" t="str">
        <f t="array" ref="G44:G45">IF(ISBLANK(B44:B837), "", XLOOKUP(B44:B837, Sheet1!A44:A203, Sheet1!C44:C203, "Category Not Found", 0))</f>
        <v>#REF!</v>
      </c>
    </row>
    <row r="45">
      <c r="A45" s="1"/>
      <c r="B45" s="1" t="s">
        <v>218</v>
      </c>
      <c r="C45" s="1" t="s">
        <v>219</v>
      </c>
      <c r="D45" s="1" t="s">
        <v>220</v>
      </c>
      <c r="E45" s="1" t="s">
        <v>221</v>
      </c>
      <c r="F45" s="1" t="s">
        <v>222</v>
      </c>
      <c r="G45" s="1" t="str">
        <f t="array" ref="G45:G46">IF(ISBLANK(B45:B838), "", XLOOKUP(B45:B838, Sheet1!A45:A204, Sheet1!C45:C204, "Category Not Found", 0))</f>
        <v>#REF!</v>
      </c>
    </row>
    <row r="46">
      <c r="A46" s="1"/>
      <c r="B46" s="1" t="s">
        <v>223</v>
      </c>
      <c r="C46" s="1" t="s">
        <v>224</v>
      </c>
      <c r="D46" s="1" t="s">
        <v>225</v>
      </c>
      <c r="E46" s="1" t="s">
        <v>226</v>
      </c>
      <c r="F46" s="1" t="s">
        <v>227</v>
      </c>
      <c r="G46" s="1" t="str">
        <f t="array" ref="G46:G47">IF(ISBLANK(B46:B839), "", XLOOKUP(B46:B839, Sheet1!A46:A205, Sheet1!C46:C205, "Category Not Found", 0))</f>
        <v>#REF!</v>
      </c>
    </row>
    <row r="47">
      <c r="A47" s="1"/>
      <c r="B47" s="1" t="s">
        <v>228</v>
      </c>
      <c r="C47" s="1" t="s">
        <v>229</v>
      </c>
      <c r="D47" s="1" t="s">
        <v>230</v>
      </c>
      <c r="E47" s="1" t="s">
        <v>231</v>
      </c>
      <c r="F47" s="1" t="s">
        <v>232</v>
      </c>
      <c r="G47" s="1" t="str">
        <f t="array" ref="G47:G48">IF(ISBLANK(B47:B840), "", XLOOKUP(B47:B840, Sheet1!A47:A206, Sheet1!C47:C206, "Category Not Found", 0))</f>
        <v>#REF!</v>
      </c>
    </row>
    <row r="48">
      <c r="A48" s="1"/>
      <c r="B48" s="1" t="s">
        <v>233</v>
      </c>
      <c r="C48" s="1" t="s">
        <v>234</v>
      </c>
      <c r="D48" s="1" t="s">
        <v>235</v>
      </c>
      <c r="E48" s="1" t="s">
        <v>236</v>
      </c>
      <c r="F48" s="1" t="s">
        <v>237</v>
      </c>
      <c r="G48" s="1" t="str">
        <f t="array" ref="G48:G49">IF(ISBLANK(B48:B841), "", XLOOKUP(B48:B841, Sheet1!A48:A207, Sheet1!C48:C207, "Category Not Found", 0))</f>
        <v>#REF!</v>
      </c>
    </row>
    <row r="49">
      <c r="A49" s="1"/>
      <c r="B49" s="1" t="s">
        <v>238</v>
      </c>
      <c r="C49" s="1" t="s">
        <v>239</v>
      </c>
      <c r="D49" s="1" t="s">
        <v>240</v>
      </c>
      <c r="E49" s="1" t="s">
        <v>241</v>
      </c>
      <c r="F49" s="1" t="s">
        <v>242</v>
      </c>
      <c r="G49" s="1" t="str">
        <f t="array" ref="G49:G50">IF(ISBLANK(B49:B842), "", XLOOKUP(B49:B842, Sheet1!A49:A208, Sheet1!C49:C208, "Category Not Found", 0))</f>
        <v>#REF!</v>
      </c>
    </row>
    <row r="50">
      <c r="A50" s="1"/>
      <c r="B50" s="1" t="s">
        <v>243</v>
      </c>
      <c r="C50" s="1" t="s">
        <v>244</v>
      </c>
      <c r="D50" s="1" t="s">
        <v>245</v>
      </c>
      <c r="E50" s="1" t="s">
        <v>246</v>
      </c>
      <c r="F50" s="1" t="s">
        <v>247</v>
      </c>
      <c r="G50" s="1" t="str">
        <f t="array" ref="G50:G51">IF(ISBLANK(B50:B843), "", XLOOKUP(B50:B843, Sheet1!A50:A209, Sheet1!C50:C209, "Category Not Found", 0))</f>
        <v>#REF!</v>
      </c>
    </row>
    <row r="51">
      <c r="A51" s="1"/>
      <c r="B51" s="1" t="s">
        <v>248</v>
      </c>
      <c r="C51" s="1" t="s">
        <v>249</v>
      </c>
      <c r="D51" s="1" t="s">
        <v>250</v>
      </c>
      <c r="E51" s="1" t="s">
        <v>251</v>
      </c>
      <c r="F51" s="1" t="s">
        <v>252</v>
      </c>
      <c r="G51" s="1" t="str">
        <f t="array" ref="G51:G52">IF(ISBLANK(B51:B844), "", XLOOKUP(B51:B844, Sheet1!A51:A210, Sheet1!C51:C210, "Category Not Found", 0))</f>
        <v>#REF!</v>
      </c>
    </row>
    <row r="52">
      <c r="A52" s="1"/>
      <c r="B52" s="1" t="s">
        <v>253</v>
      </c>
      <c r="C52" s="1" t="s">
        <v>254</v>
      </c>
      <c r="D52" s="1" t="s">
        <v>255</v>
      </c>
      <c r="E52" s="1" t="s">
        <v>256</v>
      </c>
      <c r="F52" s="1" t="s">
        <v>257</v>
      </c>
      <c r="G52" s="1" t="str">
        <f t="array" ref="G52:G53">IF(ISBLANK(B52:B845), "", XLOOKUP(B52:B845, Sheet1!A52:A211, Sheet1!C52:C211, "Category Not Found", 0))</f>
        <v>#REF!</v>
      </c>
    </row>
    <row r="53">
      <c r="A53" s="1"/>
      <c r="B53" s="1" t="s">
        <v>258</v>
      </c>
      <c r="C53" s="1" t="s">
        <v>259</v>
      </c>
      <c r="D53" s="1" t="s">
        <v>260</v>
      </c>
      <c r="E53" s="1" t="s">
        <v>261</v>
      </c>
      <c r="F53" s="1" t="s">
        <v>262</v>
      </c>
      <c r="G53" s="1" t="str">
        <f t="array" ref="G53:G54">IF(ISBLANK(B53:B846), "", XLOOKUP(B53:B846, Sheet1!A53:A212, Sheet1!C53:C212, "Category Not Found", 0))</f>
        <v>#REF!</v>
      </c>
    </row>
    <row r="54">
      <c r="A54" s="1"/>
      <c r="B54" s="1" t="s">
        <v>263</v>
      </c>
      <c r="C54" s="1" t="s">
        <v>264</v>
      </c>
      <c r="D54" s="1" t="s">
        <v>265</v>
      </c>
      <c r="E54" s="1" t="s">
        <v>266</v>
      </c>
      <c r="F54" s="1" t="s">
        <v>267</v>
      </c>
      <c r="G54" s="1" t="str">
        <f t="array" ref="G54:G55">IF(ISBLANK(B54:B847), "", XLOOKUP(B54:B847, Sheet1!A54:A213, Sheet1!C54:C213, "Category Not Found", 0))</f>
        <v>#REF!</v>
      </c>
    </row>
    <row r="55">
      <c r="A55" s="1"/>
      <c r="B55" s="1" t="s">
        <v>268</v>
      </c>
      <c r="C55" s="1" t="s">
        <v>269</v>
      </c>
      <c r="D55" s="1" t="s">
        <v>270</v>
      </c>
      <c r="E55" s="1" t="s">
        <v>271</v>
      </c>
      <c r="F55" s="1" t="s">
        <v>272</v>
      </c>
      <c r="G55" s="1" t="str">
        <f t="array" ref="G55:G56">IF(ISBLANK(B55:B848), "", XLOOKUP(B55:B848, Sheet1!A55:A214, Sheet1!C55:C214, "Category Not Found", 0))</f>
        <v>#REF!</v>
      </c>
    </row>
    <row r="56">
      <c r="A56" s="1"/>
      <c r="B56" s="1" t="s">
        <v>273</v>
      </c>
      <c r="C56" s="1" t="s">
        <v>274</v>
      </c>
      <c r="D56" s="1" t="s">
        <v>275</v>
      </c>
      <c r="E56" s="1" t="s">
        <v>276</v>
      </c>
      <c r="F56" s="1" t="s">
        <v>277</v>
      </c>
      <c r="G56" s="1" t="str">
        <f t="array" ref="G56:G57">IF(ISBLANK(B56:B849), "", XLOOKUP(B56:B849, Sheet1!A56:A215, Sheet1!C56:C215, "Category Not Found", 0))</f>
        <v>#REF!</v>
      </c>
    </row>
    <row r="57">
      <c r="A57" s="1"/>
      <c r="B57" s="1" t="s">
        <v>278</v>
      </c>
      <c r="C57" s="1" t="s">
        <v>279</v>
      </c>
      <c r="D57" s="1" t="s">
        <v>280</v>
      </c>
      <c r="E57" s="1" t="s">
        <v>281</v>
      </c>
      <c r="F57" s="1" t="s">
        <v>282</v>
      </c>
      <c r="G57" s="1" t="str">
        <f t="array" ref="G57:G58">IF(ISBLANK(B57:B850), "", XLOOKUP(B57:B850, Sheet1!A57:A216, Sheet1!C57:C216, "Category Not Found", 0))</f>
        <v>#REF!</v>
      </c>
    </row>
    <row r="58">
      <c r="A58" s="1"/>
      <c r="B58" s="1" t="s">
        <v>283</v>
      </c>
      <c r="C58" s="1" t="s">
        <v>284</v>
      </c>
      <c r="D58" s="1" t="s">
        <v>285</v>
      </c>
      <c r="E58" s="1" t="s">
        <v>286</v>
      </c>
      <c r="F58" s="1" t="s">
        <v>287</v>
      </c>
      <c r="G58" s="1" t="str">
        <f t="array" ref="G58:G59">IF(ISBLANK(B58:B851), "", XLOOKUP(B58:B851, Sheet1!A58:A217, Sheet1!C58:C217, "Category Not Found", 0))</f>
        <v>#REF!</v>
      </c>
    </row>
    <row r="59">
      <c r="A59" s="1"/>
      <c r="B59" s="1" t="s">
        <v>288</v>
      </c>
      <c r="C59" s="1" t="s">
        <v>289</v>
      </c>
      <c r="D59" s="1" t="s">
        <v>290</v>
      </c>
      <c r="E59" s="1" t="s">
        <v>291</v>
      </c>
      <c r="F59" s="1" t="s">
        <v>292</v>
      </c>
      <c r="G59" s="1" t="str">
        <f t="array" ref="G59:G60">IF(ISBLANK(B59:B852), "", XLOOKUP(B59:B852, Sheet1!A59:A218, Sheet1!C59:C218, "Category Not Found", 0))</f>
        <v>#REF!</v>
      </c>
    </row>
    <row r="60">
      <c r="A60" s="1"/>
      <c r="B60" s="1" t="s">
        <v>293</v>
      </c>
      <c r="C60" s="1" t="s">
        <v>294</v>
      </c>
      <c r="D60" s="1" t="s">
        <v>295</v>
      </c>
      <c r="E60" s="1" t="s">
        <v>296</v>
      </c>
      <c r="F60" s="1" t="s">
        <v>297</v>
      </c>
      <c r="G60" s="1" t="str">
        <f t="array" ref="G60:G61">IF(ISBLANK(B60:B853), "", XLOOKUP(B60:B853, Sheet1!A60:A219, Sheet1!C60:C219, "Category Not Found", 0))</f>
        <v>#REF!</v>
      </c>
    </row>
    <row r="61">
      <c r="A61" s="1"/>
      <c r="B61" s="1" t="s">
        <v>298</v>
      </c>
      <c r="C61" s="1" t="s">
        <v>299</v>
      </c>
      <c r="D61" s="1" t="s">
        <v>300</v>
      </c>
      <c r="E61" s="1" t="s">
        <v>301</v>
      </c>
      <c r="F61" s="1" t="s">
        <v>302</v>
      </c>
      <c r="G61" s="1" t="str">
        <f t="array" ref="G61:G62">IF(ISBLANK(B61:B854), "", XLOOKUP(B61:B854, Sheet1!A61:A220, Sheet1!C61:C220, "Category Not Found", 0))</f>
        <v>#REF!</v>
      </c>
    </row>
    <row r="62">
      <c r="A62" s="1"/>
      <c r="B62" s="1" t="s">
        <v>303</v>
      </c>
      <c r="C62" s="1" t="s">
        <v>304</v>
      </c>
      <c r="D62" s="1" t="s">
        <v>305</v>
      </c>
      <c r="E62" s="1" t="s">
        <v>306</v>
      </c>
      <c r="F62" s="1" t="s">
        <v>307</v>
      </c>
      <c r="G62" s="1" t="str">
        <f t="array" ref="G62:G63">IF(ISBLANK(B62:B855), "", XLOOKUP(B62:B855, Sheet1!A62:A221, Sheet1!C62:C221, "Category Not Found", 0))</f>
        <v>#REF!</v>
      </c>
    </row>
    <row r="63">
      <c r="A63" s="1"/>
      <c r="B63" s="1" t="s">
        <v>308</v>
      </c>
      <c r="C63" s="1" t="s">
        <v>309</v>
      </c>
      <c r="D63" s="1" t="s">
        <v>310</v>
      </c>
      <c r="E63" s="1" t="s">
        <v>311</v>
      </c>
      <c r="F63" s="1" t="s">
        <v>312</v>
      </c>
      <c r="G63" s="1" t="str">
        <f t="array" ref="G63:G64">IF(ISBLANK(B63:B856), "", XLOOKUP(B63:B856, Sheet1!A63:A222, Sheet1!C63:C222, "Category Not Found", 0))</f>
        <v>#REF!</v>
      </c>
    </row>
    <row r="64">
      <c r="A64" s="1"/>
      <c r="B64" s="1" t="s">
        <v>313</v>
      </c>
      <c r="C64" s="1" t="s">
        <v>314</v>
      </c>
      <c r="D64" s="1" t="s">
        <v>315</v>
      </c>
      <c r="E64" s="1" t="s">
        <v>316</v>
      </c>
      <c r="F64" s="1" t="s">
        <v>317</v>
      </c>
      <c r="G64" s="1" t="str">
        <f t="array" ref="G64:G65">IF(ISBLANK(B64:B857), "", XLOOKUP(B64:B857, Sheet1!A64:A223, Sheet1!C64:C223, "Category Not Found", 0))</f>
        <v>#REF!</v>
      </c>
    </row>
    <row r="65">
      <c r="A65" s="1"/>
      <c r="B65" s="1" t="s">
        <v>318</v>
      </c>
      <c r="C65" s="1" t="s">
        <v>319</v>
      </c>
      <c r="D65" s="1" t="s">
        <v>320</v>
      </c>
      <c r="E65" s="1" t="s">
        <v>321</v>
      </c>
      <c r="F65" s="1" t="s">
        <v>322</v>
      </c>
      <c r="G65" s="1" t="str">
        <f t="array" ref="G65:G66">IF(ISBLANK(B65:B858), "", XLOOKUP(B65:B858, Sheet1!A65:A224, Sheet1!C65:C224, "Category Not Found", 0))</f>
        <v>#REF!</v>
      </c>
    </row>
    <row r="66">
      <c r="A66" s="1"/>
      <c r="B66" s="1" t="s">
        <v>323</v>
      </c>
      <c r="C66" s="1" t="s">
        <v>324</v>
      </c>
      <c r="D66" s="1" t="s">
        <v>325</v>
      </c>
      <c r="E66" s="1" t="s">
        <v>326</v>
      </c>
      <c r="F66" s="1" t="s">
        <v>327</v>
      </c>
      <c r="G66" s="1" t="str">
        <f t="array" ref="G66:G67">IF(ISBLANK(B66:B859), "", XLOOKUP(B66:B859, Sheet1!A66:A225, Sheet1!C66:C225, "Category Not Found", 0))</f>
        <v>#REF!</v>
      </c>
    </row>
    <row r="67">
      <c r="A67" s="1"/>
      <c r="B67" s="1" t="s">
        <v>328</v>
      </c>
      <c r="C67" s="1" t="s">
        <v>329</v>
      </c>
      <c r="D67" s="1" t="s">
        <v>330</v>
      </c>
      <c r="E67" s="1" t="s">
        <v>331</v>
      </c>
      <c r="F67" s="1" t="s">
        <v>332</v>
      </c>
      <c r="G67" s="1" t="str">
        <f t="array" ref="G67:G68">IF(ISBLANK(B67:B860), "", XLOOKUP(B67:B860, Sheet1!A67:A226, Sheet1!C67:C226, "Category Not Found", 0))</f>
        <v>#REF!</v>
      </c>
    </row>
    <row r="68">
      <c r="A68" s="1"/>
      <c r="B68" s="1" t="s">
        <v>333</v>
      </c>
      <c r="C68" s="1" t="s">
        <v>334</v>
      </c>
      <c r="D68" s="1" t="s">
        <v>335</v>
      </c>
      <c r="E68" s="1" t="s">
        <v>336</v>
      </c>
      <c r="F68" s="1" t="s">
        <v>337</v>
      </c>
      <c r="G68" s="1" t="str">
        <f t="array" ref="G68:G69">IF(ISBLANK(B68:B861), "", XLOOKUP(B68:B861, Sheet1!A68:A227, Sheet1!C68:C227, "Category Not Found", 0))</f>
        <v>#REF!</v>
      </c>
    </row>
    <row r="69">
      <c r="A69" s="1"/>
      <c r="B69" s="1" t="s">
        <v>338</v>
      </c>
      <c r="C69" s="1" t="s">
        <v>339</v>
      </c>
      <c r="D69" s="1" t="s">
        <v>340</v>
      </c>
      <c r="E69" s="1" t="s">
        <v>341</v>
      </c>
      <c r="F69" s="1" t="s">
        <v>342</v>
      </c>
      <c r="G69" s="1" t="str">
        <f t="array" ref="G69:G70">IF(ISBLANK(B69:B862), "", XLOOKUP(B69:B862, Sheet1!A69:A228, Sheet1!C69:C228, "Category Not Found", 0))</f>
        <v>#REF!</v>
      </c>
    </row>
    <row r="70">
      <c r="A70" s="1"/>
      <c r="B70" s="1" t="s">
        <v>343</v>
      </c>
      <c r="C70" s="1" t="s">
        <v>344</v>
      </c>
      <c r="D70" s="1" t="s">
        <v>345</v>
      </c>
      <c r="E70" s="1" t="s">
        <v>346</v>
      </c>
      <c r="F70" s="1" t="s">
        <v>347</v>
      </c>
      <c r="G70" s="1" t="str">
        <f t="array" ref="G70:G71">IF(ISBLANK(B70:B863), "", XLOOKUP(B70:B863, Sheet1!A70:A229, Sheet1!C70:C229, "Category Not Found", 0))</f>
        <v>#REF!</v>
      </c>
    </row>
    <row r="71">
      <c r="A71" s="1"/>
      <c r="B71" s="1" t="s">
        <v>348</v>
      </c>
      <c r="C71" s="1" t="s">
        <v>349</v>
      </c>
      <c r="D71" s="1" t="s">
        <v>350</v>
      </c>
      <c r="E71" s="1" t="s">
        <v>351</v>
      </c>
      <c r="F71" s="1" t="s">
        <v>352</v>
      </c>
      <c r="G71" s="1" t="str">
        <f t="array" ref="G71:G72">IF(ISBLANK(B71:B864), "", XLOOKUP(B71:B864, Sheet1!A71:A230, Sheet1!C71:C230, "Category Not Found", 0))</f>
        <v>#REF!</v>
      </c>
    </row>
    <row r="72">
      <c r="A72" s="1"/>
      <c r="B72" s="1" t="s">
        <v>353</v>
      </c>
      <c r="C72" s="1" t="s">
        <v>354</v>
      </c>
      <c r="D72" s="1" t="s">
        <v>355</v>
      </c>
      <c r="E72" s="1" t="s">
        <v>356</v>
      </c>
      <c r="F72" s="1" t="s">
        <v>357</v>
      </c>
      <c r="G72" s="1" t="str">
        <f t="array" ref="G72:G73">IF(ISBLANK(B72:B865), "", XLOOKUP(B72:B865, Sheet1!A72:A231, Sheet1!C72:C231, "Category Not Found", 0))</f>
        <v>#REF!</v>
      </c>
    </row>
    <row r="73">
      <c r="A73" s="1"/>
      <c r="B73" s="1" t="s">
        <v>358</v>
      </c>
      <c r="C73" s="1" t="s">
        <v>359</v>
      </c>
      <c r="D73" s="1" t="s">
        <v>360</v>
      </c>
      <c r="E73" s="1" t="s">
        <v>361</v>
      </c>
      <c r="F73" s="1" t="s">
        <v>362</v>
      </c>
      <c r="G73" s="1" t="str">
        <f t="array" ref="G73:G74">IF(ISBLANK(B73:B866), "", XLOOKUP(B73:B866, Sheet1!A73:A232, Sheet1!C73:C232, "Category Not Found", 0))</f>
        <v>#REF!</v>
      </c>
    </row>
    <row r="74">
      <c r="A74" s="1"/>
      <c r="B74" s="1" t="s">
        <v>363</v>
      </c>
      <c r="C74" s="1" t="s">
        <v>364</v>
      </c>
      <c r="D74" s="1" t="s">
        <v>365</v>
      </c>
      <c r="E74" s="1" t="s">
        <v>366</v>
      </c>
      <c r="F74" s="1" t="s">
        <v>367</v>
      </c>
      <c r="G74" s="1" t="str">
        <f t="array" ref="G74:G75">IF(ISBLANK(B74:B867), "", XLOOKUP(B74:B867, Sheet1!A74:A233, Sheet1!C74:C233, "Category Not Found", 0))</f>
        <v>#REF!</v>
      </c>
    </row>
    <row r="75">
      <c r="A75" s="1"/>
      <c r="B75" s="1" t="s">
        <v>368</v>
      </c>
      <c r="C75" s="1" t="s">
        <v>369</v>
      </c>
      <c r="D75" s="1" t="s">
        <v>370</v>
      </c>
      <c r="E75" s="1" t="s">
        <v>371</v>
      </c>
      <c r="F75" s="1" t="s">
        <v>372</v>
      </c>
      <c r="G75" s="1" t="str">
        <f t="array" ref="G75:G76">IF(ISBLANK(B75:B868), "", XLOOKUP(B75:B868, Sheet1!A75:A234, Sheet1!C75:C234, "Category Not Found", 0))</f>
        <v>#REF!</v>
      </c>
    </row>
    <row r="76">
      <c r="A76" s="1"/>
      <c r="B76" s="1" t="s">
        <v>373</v>
      </c>
      <c r="C76" s="1" t="s">
        <v>374</v>
      </c>
      <c r="D76" s="1" t="s">
        <v>375</v>
      </c>
      <c r="E76" s="1" t="s">
        <v>376</v>
      </c>
      <c r="F76" s="1" t="s">
        <v>377</v>
      </c>
      <c r="G76" s="1" t="str">
        <f t="array" ref="G76:G77">IF(ISBLANK(B76:B869), "", XLOOKUP(B76:B869, Sheet1!A76:A235, Sheet1!C76:C235, "Category Not Found", 0))</f>
        <v>#REF!</v>
      </c>
    </row>
    <row r="77">
      <c r="A77" s="1"/>
      <c r="B77" s="1" t="s">
        <v>378</v>
      </c>
      <c r="C77" s="1" t="s">
        <v>379</v>
      </c>
      <c r="D77" s="1" t="s">
        <v>380</v>
      </c>
      <c r="E77" s="1" t="s">
        <v>381</v>
      </c>
      <c r="F77" s="1" t="s">
        <v>382</v>
      </c>
      <c r="G77" s="1" t="str">
        <f t="array" ref="G77:G78">IF(ISBLANK(B77:B870), "", XLOOKUP(B77:B870, Sheet1!A77:A236, Sheet1!C77:C236, "Category Not Found", 0))</f>
        <v>#REF!</v>
      </c>
    </row>
    <row r="78">
      <c r="A78" s="1"/>
      <c r="B78" s="1" t="s">
        <v>383</v>
      </c>
      <c r="C78" s="1" t="s">
        <v>384</v>
      </c>
      <c r="D78" s="1" t="s">
        <v>385</v>
      </c>
      <c r="E78" s="1" t="s">
        <v>386</v>
      </c>
      <c r="F78" s="1" t="s">
        <v>387</v>
      </c>
      <c r="G78" s="1" t="str">
        <f t="array" ref="G78:G79">IF(ISBLANK(B78:B871), "", XLOOKUP(B78:B871, Sheet1!A78:A237, Sheet1!C78:C237, "Category Not Found", 0))</f>
        <v>#REF!</v>
      </c>
    </row>
    <row r="79">
      <c r="A79" s="1"/>
      <c r="B79" s="1" t="s">
        <v>388</v>
      </c>
      <c r="C79" s="1" t="s">
        <v>389</v>
      </c>
      <c r="D79" s="1" t="s">
        <v>390</v>
      </c>
      <c r="E79" s="1" t="s">
        <v>391</v>
      </c>
      <c r="F79" s="1" t="s">
        <v>392</v>
      </c>
      <c r="G79" s="1" t="str">
        <f t="array" ref="G79:G80">IF(ISBLANK(B79:B872), "", XLOOKUP(B79:B872, Sheet1!A79:A238, Sheet1!C79:C238, "Category Not Found", 0))</f>
        <v>#REF!</v>
      </c>
    </row>
    <row r="80">
      <c r="A80" s="1"/>
      <c r="B80" s="1" t="s">
        <v>393</v>
      </c>
      <c r="C80" s="1" t="s">
        <v>394</v>
      </c>
      <c r="D80" s="1" t="s">
        <v>395</v>
      </c>
      <c r="E80" s="1" t="s">
        <v>396</v>
      </c>
      <c r="F80" s="1" t="s">
        <v>397</v>
      </c>
      <c r="G80" s="1" t="str">
        <f t="array" ref="G80:G81">IF(ISBLANK(B80:B873), "", XLOOKUP(B80:B873, Sheet1!A80:A239, Sheet1!C80:C239, "Category Not Found", 0))</f>
        <v>#REF!</v>
      </c>
    </row>
    <row r="81">
      <c r="A81" s="1"/>
      <c r="B81" s="1" t="s">
        <v>398</v>
      </c>
      <c r="C81" s="1" t="s">
        <v>399</v>
      </c>
      <c r="D81" s="1" t="s">
        <v>400</v>
      </c>
      <c r="E81" s="1" t="s">
        <v>401</v>
      </c>
      <c r="F81" s="1" t="s">
        <v>402</v>
      </c>
      <c r="G81" s="1" t="str">
        <f t="array" ref="G81:G82">IF(ISBLANK(B81:B874), "", XLOOKUP(B81:B874, Sheet1!A81:A240, Sheet1!C81:C240, "Category Not Found", 0))</f>
        <v>#REF!</v>
      </c>
    </row>
    <row r="82">
      <c r="A82" s="1"/>
      <c r="B82" s="1" t="s">
        <v>403</v>
      </c>
      <c r="C82" s="1" t="s">
        <v>404</v>
      </c>
      <c r="D82" s="1" t="s">
        <v>405</v>
      </c>
      <c r="E82" s="1" t="s">
        <v>406</v>
      </c>
      <c r="F82" s="1" t="s">
        <v>407</v>
      </c>
      <c r="G82" s="1" t="str">
        <f t="array" ref="G82:G83">IF(ISBLANK(B82:B875), "", XLOOKUP(B82:B875, Sheet1!A82:A241, Sheet1!C82:C241, "Category Not Found", 0))</f>
        <v>#REF!</v>
      </c>
    </row>
    <row r="83">
      <c r="A83" s="1"/>
      <c r="B83" s="1" t="s">
        <v>408</v>
      </c>
      <c r="C83" s="1" t="s">
        <v>409</v>
      </c>
      <c r="D83" s="1" t="s">
        <v>410</v>
      </c>
      <c r="E83" s="1" t="s">
        <v>411</v>
      </c>
      <c r="F83" s="1" t="s">
        <v>412</v>
      </c>
      <c r="G83" s="1" t="str">
        <f t="array" ref="G83:G84">IF(ISBLANK(B83:B876), "", XLOOKUP(B83:B876, Sheet1!A83:A242, Sheet1!C83:C242, "Category Not Found", 0))</f>
        <v>#REF!</v>
      </c>
    </row>
    <row r="84">
      <c r="A84" s="1"/>
      <c r="B84" s="1" t="s">
        <v>413</v>
      </c>
      <c r="C84" s="1" t="s">
        <v>414</v>
      </c>
      <c r="D84" s="1" t="s">
        <v>415</v>
      </c>
      <c r="E84" s="1" t="s">
        <v>416</v>
      </c>
      <c r="F84" s="1" t="s">
        <v>417</v>
      </c>
      <c r="G84" s="1" t="str">
        <f t="array" ref="G84:G85">IF(ISBLANK(B84:B877), "", XLOOKUP(B84:B877, Sheet1!A84:A243, Sheet1!C84:C243, "Category Not Found", 0))</f>
        <v>#REF!</v>
      </c>
    </row>
    <row r="85">
      <c r="A85" s="1"/>
      <c r="B85" s="1" t="s">
        <v>418</v>
      </c>
      <c r="C85" s="1" t="s">
        <v>419</v>
      </c>
      <c r="D85" s="1" t="s">
        <v>420</v>
      </c>
      <c r="E85" s="1" t="s">
        <v>421</v>
      </c>
      <c r="F85" s="1" t="s">
        <v>422</v>
      </c>
      <c r="G85" s="1" t="str">
        <f t="array" ref="G85:G86">IF(ISBLANK(B85:B878), "", XLOOKUP(B85:B878, Sheet1!A85:A244, Sheet1!C85:C244, "Category Not Found", 0))</f>
        <v>#REF!</v>
      </c>
    </row>
    <row r="86">
      <c r="A86" s="1"/>
      <c r="B86" s="1" t="s">
        <v>423</v>
      </c>
      <c r="C86" s="1" t="s">
        <v>424</v>
      </c>
      <c r="D86" s="1" t="s">
        <v>425</v>
      </c>
      <c r="E86" s="1" t="s">
        <v>426</v>
      </c>
      <c r="F86" s="1" t="s">
        <v>427</v>
      </c>
      <c r="G86" s="1" t="str">
        <f t="array" ref="G86:G87">IF(ISBLANK(B86:B879), "", XLOOKUP(B86:B879, Sheet1!A86:A245, Sheet1!C86:C245, "Category Not Found", 0))</f>
        <v>#REF!</v>
      </c>
    </row>
    <row r="87">
      <c r="A87" s="1"/>
      <c r="B87" s="1" t="s">
        <v>428</v>
      </c>
      <c r="C87" s="1" t="s">
        <v>429</v>
      </c>
      <c r="D87" s="1" t="s">
        <v>430</v>
      </c>
      <c r="E87" s="1" t="s">
        <v>431</v>
      </c>
      <c r="F87" s="1" t="s">
        <v>432</v>
      </c>
      <c r="G87" s="1" t="str">
        <f t="array" ref="G87:G88">IF(ISBLANK(B87:B880), "", XLOOKUP(B87:B880, Sheet1!A87:A246, Sheet1!C87:C246, "Category Not Found", 0))</f>
        <v>#REF!</v>
      </c>
    </row>
    <row r="88">
      <c r="A88" s="1"/>
      <c r="B88" s="1" t="s">
        <v>433</v>
      </c>
      <c r="C88" s="1" t="s">
        <v>434</v>
      </c>
      <c r="D88" s="1" t="s">
        <v>435</v>
      </c>
      <c r="E88" s="1" t="s">
        <v>436</v>
      </c>
      <c r="F88" s="1" t="s">
        <v>437</v>
      </c>
      <c r="G88" s="1" t="str">
        <f t="array" ref="G88:G89">IF(ISBLANK(B88:B881), "", XLOOKUP(B88:B881, Sheet1!A88:A247, Sheet1!C88:C247, "Category Not Found", 0))</f>
        <v>#REF!</v>
      </c>
    </row>
    <row r="89">
      <c r="A89" s="1"/>
      <c r="B89" s="1" t="s">
        <v>438</v>
      </c>
      <c r="C89" s="1" t="s">
        <v>439</v>
      </c>
      <c r="D89" s="1" t="s">
        <v>440</v>
      </c>
      <c r="E89" s="1" t="s">
        <v>441</v>
      </c>
      <c r="F89" s="1" t="s">
        <v>442</v>
      </c>
      <c r="G89" s="1" t="str">
        <f t="array" ref="G89:G90">IF(ISBLANK(B89:B882), "", XLOOKUP(B89:B882, Sheet1!A89:A248, Sheet1!C89:C248, "Category Not Found", 0))</f>
        <v>#REF!</v>
      </c>
    </row>
    <row r="90">
      <c r="A90" s="1"/>
      <c r="B90" s="1" t="s">
        <v>443</v>
      </c>
      <c r="C90" s="1" t="s">
        <v>444</v>
      </c>
      <c r="D90" s="1" t="s">
        <v>445</v>
      </c>
      <c r="E90" s="1" t="s">
        <v>446</v>
      </c>
      <c r="F90" s="1" t="s">
        <v>447</v>
      </c>
      <c r="G90" s="1" t="str">
        <f t="array" ref="G90:G91">IF(ISBLANK(B90:B883), "", XLOOKUP(B90:B883, Sheet1!A90:A249, Sheet1!C90:C249, "Category Not Found", 0))</f>
        <v>#REF!</v>
      </c>
    </row>
    <row r="91">
      <c r="A91" s="1"/>
      <c r="B91" s="1" t="s">
        <v>448</v>
      </c>
      <c r="C91" s="1" t="s">
        <v>449</v>
      </c>
      <c r="D91" s="1" t="s">
        <v>450</v>
      </c>
      <c r="E91" s="1" t="s">
        <v>451</v>
      </c>
      <c r="F91" s="1" t="s">
        <v>452</v>
      </c>
      <c r="G91" s="1" t="str">
        <f t="array" ref="G91:G92">IF(ISBLANK(B91:B884), "", XLOOKUP(B91:B884, Sheet1!A91:A250, Sheet1!C91:C250, "Category Not Found", 0))</f>
        <v>#REF!</v>
      </c>
    </row>
    <row r="92">
      <c r="A92" s="1"/>
      <c r="B92" s="1" t="s">
        <v>453</v>
      </c>
      <c r="C92" s="1" t="s">
        <v>454</v>
      </c>
      <c r="D92" s="1" t="s">
        <v>455</v>
      </c>
      <c r="E92" s="1" t="s">
        <v>456</v>
      </c>
      <c r="F92" s="1" t="s">
        <v>457</v>
      </c>
      <c r="G92" s="1" t="str">
        <f t="array" ref="G92:G93">IF(ISBLANK(B92:B885), "", XLOOKUP(B92:B885, Sheet1!A92:A251, Sheet1!C92:C251, "Category Not Found", 0))</f>
        <v>#REF!</v>
      </c>
    </row>
    <row r="93">
      <c r="A93" s="1"/>
      <c r="B93" s="1" t="s">
        <v>458</v>
      </c>
      <c r="C93" s="1" t="s">
        <v>459</v>
      </c>
      <c r="D93" s="1" t="s">
        <v>460</v>
      </c>
      <c r="E93" s="1" t="s">
        <v>461</v>
      </c>
      <c r="F93" s="1" t="s">
        <v>462</v>
      </c>
      <c r="G93" s="1" t="str">
        <f t="array" ref="G93:G94">IF(ISBLANK(B93:B886), "", XLOOKUP(B93:B886, Sheet1!A93:A252, Sheet1!C93:C252, "Category Not Found", 0))</f>
        <v>#REF!</v>
      </c>
    </row>
    <row r="94">
      <c r="A94" s="1"/>
      <c r="B94" s="1" t="s">
        <v>463</v>
      </c>
      <c r="C94" s="1" t="s">
        <v>464</v>
      </c>
      <c r="D94" s="1" t="s">
        <v>465</v>
      </c>
      <c r="E94" s="1" t="s">
        <v>466</v>
      </c>
      <c r="F94" s="1" t="s">
        <v>467</v>
      </c>
      <c r="G94" s="1" t="str">
        <f t="array" ref="G94:G95">IF(ISBLANK(B94:B887), "", XLOOKUP(B94:B887, Sheet1!A94:A253, Sheet1!C94:C253, "Category Not Found", 0))</f>
        <v>#REF!</v>
      </c>
    </row>
    <row r="95">
      <c r="A95" s="1"/>
      <c r="B95" s="1" t="s">
        <v>468</v>
      </c>
      <c r="C95" s="1" t="s">
        <v>469</v>
      </c>
      <c r="D95" s="1" t="s">
        <v>340</v>
      </c>
      <c r="E95" s="1" t="s">
        <v>401</v>
      </c>
      <c r="F95" s="1" t="s">
        <v>470</v>
      </c>
      <c r="G95" s="1" t="str">
        <f t="array" ref="G95:G96">IF(ISBLANK(B95:B888), "", XLOOKUP(B95:B888, Sheet1!A95:A254, Sheet1!C95:C254, "Category Not Found", 0))</f>
        <v>#REF!</v>
      </c>
    </row>
    <row r="96">
      <c r="A96" s="1"/>
      <c r="B96" s="1" t="s">
        <v>471</v>
      </c>
      <c r="C96" s="1" t="s">
        <v>472</v>
      </c>
      <c r="D96" s="1" t="s">
        <v>473</v>
      </c>
      <c r="E96" s="1" t="s">
        <v>474</v>
      </c>
      <c r="F96" s="1" t="s">
        <v>475</v>
      </c>
      <c r="G96" s="1" t="str">
        <f t="array" ref="G96:G97">IF(ISBLANK(B96:B889), "", XLOOKUP(B96:B889, Sheet1!A96:A255, Sheet1!C96:C255, "Category Not Found", 0))</f>
        <v>#REF!</v>
      </c>
    </row>
    <row r="97">
      <c r="A97" s="1"/>
      <c r="B97" s="1" t="s">
        <v>476</v>
      </c>
      <c r="C97" s="1" t="s">
        <v>477</v>
      </c>
      <c r="D97" s="1" t="s">
        <v>478</v>
      </c>
      <c r="E97" s="1" t="s">
        <v>479</v>
      </c>
      <c r="F97" s="1" t="s">
        <v>480</v>
      </c>
      <c r="G97" s="1" t="str">
        <f t="array" ref="G97:G98">IF(ISBLANK(B97:B890), "", XLOOKUP(B97:B890, Sheet1!A97:A256, Sheet1!C97:C256, "Category Not Found", 0))</f>
        <v>#REF!</v>
      </c>
    </row>
    <row r="98">
      <c r="A98" s="1"/>
      <c r="B98" s="1" t="s">
        <v>481</v>
      </c>
      <c r="C98" s="1" t="s">
        <v>482</v>
      </c>
      <c r="D98" s="1" t="s">
        <v>483</v>
      </c>
      <c r="E98" s="1" t="s">
        <v>484</v>
      </c>
      <c r="F98" s="1" t="s">
        <v>485</v>
      </c>
      <c r="G98" s="1" t="str">
        <f t="array" ref="G98:G99">IF(ISBLANK(B98:B891), "", XLOOKUP(B98:B891, Sheet1!A98:A257, Sheet1!C98:C257, "Category Not Found", 0))</f>
        <v>#REF!</v>
      </c>
    </row>
    <row r="99">
      <c r="A99" s="1"/>
      <c r="B99" s="1" t="s">
        <v>486</v>
      </c>
      <c r="C99" s="1" t="s">
        <v>487</v>
      </c>
      <c r="D99" s="1" t="s">
        <v>488</v>
      </c>
      <c r="E99" s="1" t="s">
        <v>489</v>
      </c>
      <c r="F99" s="1" t="s">
        <v>490</v>
      </c>
      <c r="G99" s="1" t="str">
        <f t="array" ref="G99:G100">IF(ISBLANK(B99:B892), "", XLOOKUP(B99:B892, Sheet1!A99:A258, Sheet1!C99:C258, "Category Not Found", 0))</f>
        <v>#REF!</v>
      </c>
    </row>
    <row r="100">
      <c r="A100" s="1"/>
      <c r="B100" s="1" t="s">
        <v>491</v>
      </c>
      <c r="C100" s="1" t="s">
        <v>492</v>
      </c>
      <c r="D100" s="1" t="s">
        <v>493</v>
      </c>
      <c r="E100" s="1" t="s">
        <v>494</v>
      </c>
      <c r="F100" s="1" t="s">
        <v>495</v>
      </c>
      <c r="G100" s="1" t="str">
        <f t="array" ref="G100:G101">IF(ISBLANK(B100:B893), "", XLOOKUP(B100:B893, Sheet1!A100:A259, Sheet1!C100:C259, "Category Not Found", 0))</f>
        <v>#REF!</v>
      </c>
    </row>
    <row r="101">
      <c r="A101" s="1"/>
      <c r="B101" s="1" t="s">
        <v>496</v>
      </c>
      <c r="C101" s="1" t="s">
        <v>497</v>
      </c>
      <c r="D101" s="1" t="s">
        <v>498</v>
      </c>
      <c r="E101" s="1" t="s">
        <v>499</v>
      </c>
      <c r="F101" s="1" t="s">
        <v>500</v>
      </c>
      <c r="G101" s="1" t="str">
        <f t="array" ref="G101:G102">IF(ISBLANK(B101:B894), "", XLOOKUP(B101:B894, Sheet1!A101:A260, Sheet1!C101:C260, "Category Not Found", 0))</f>
        <v>#REF!</v>
      </c>
    </row>
    <row r="102">
      <c r="A102" s="1"/>
      <c r="B102" s="1" t="s">
        <v>501</v>
      </c>
      <c r="C102" s="1" t="s">
        <v>502</v>
      </c>
      <c r="D102" s="1" t="s">
        <v>503</v>
      </c>
      <c r="E102" s="1" t="s">
        <v>504</v>
      </c>
      <c r="F102" s="1" t="s">
        <v>505</v>
      </c>
      <c r="G102" s="1" t="str">
        <f t="array" ref="G102:G103">IF(ISBLANK(B102:B895), "", XLOOKUP(B102:B895, Sheet1!A102:A261, Sheet1!C102:C261, "Category Not Found", 0))</f>
        <v>#REF!</v>
      </c>
    </row>
    <row r="103">
      <c r="A103" s="1"/>
      <c r="B103" s="1" t="s">
        <v>506</v>
      </c>
      <c r="C103" s="1" t="s">
        <v>507</v>
      </c>
      <c r="D103" s="1" t="s">
        <v>508</v>
      </c>
      <c r="E103" s="1" t="s">
        <v>509</v>
      </c>
      <c r="F103" s="1" t="s">
        <v>510</v>
      </c>
      <c r="G103" s="1" t="str">
        <f t="array" ref="G103:G104">IF(ISBLANK(B103:B896), "", XLOOKUP(B103:B896, Sheet1!A103:A262, Sheet1!C103:C262, "Category Not Found", 0))</f>
        <v>#REF!</v>
      </c>
    </row>
    <row r="104">
      <c r="A104" s="1"/>
      <c r="B104" s="1" t="s">
        <v>511</v>
      </c>
      <c r="C104" s="1" t="s">
        <v>512</v>
      </c>
      <c r="D104" s="1" t="s">
        <v>513</v>
      </c>
      <c r="E104" s="1" t="s">
        <v>514</v>
      </c>
      <c r="F104" s="1" t="s">
        <v>515</v>
      </c>
      <c r="G104" s="1" t="str">
        <f t="array" ref="G104:G105">IF(ISBLANK(B104:B897), "", XLOOKUP(B104:B897, Sheet1!A104:A263, Sheet1!C104:C263, "Category Not Found", 0))</f>
        <v>#REF!</v>
      </c>
    </row>
    <row r="105">
      <c r="A105" s="1"/>
      <c r="B105" s="1" t="s">
        <v>516</v>
      </c>
      <c r="C105" s="1" t="s">
        <v>517</v>
      </c>
      <c r="D105" s="1" t="s">
        <v>518</v>
      </c>
      <c r="E105" s="1" t="s">
        <v>519</v>
      </c>
      <c r="F105" s="1" t="s">
        <v>520</v>
      </c>
      <c r="G105" s="1" t="str">
        <f t="array" ref="G105:G106">IF(ISBLANK(B105:B898), "", XLOOKUP(B105:B898, Sheet1!A105:A264, Sheet1!C105:C264, "Category Not Found", 0))</f>
        <v>#REF!</v>
      </c>
    </row>
    <row r="106">
      <c r="A106" s="1"/>
      <c r="B106" s="1" t="s">
        <v>521</v>
      </c>
      <c r="C106" s="1" t="s">
        <v>522</v>
      </c>
      <c r="D106" s="1" t="s">
        <v>523</v>
      </c>
      <c r="E106" s="1" t="s">
        <v>524</v>
      </c>
      <c r="F106" s="1" t="s">
        <v>525</v>
      </c>
      <c r="G106" s="1" t="str">
        <f t="array" ref="G106:G107">IF(ISBLANK(B106:B899), "", XLOOKUP(B106:B899, Sheet1!A106:A265, Sheet1!C106:C265, "Category Not Found", 0))</f>
        <v>#REF!</v>
      </c>
    </row>
    <row r="107">
      <c r="A107" s="1"/>
      <c r="B107" s="1" t="s">
        <v>526</v>
      </c>
      <c r="C107" s="1" t="s">
        <v>527</v>
      </c>
      <c r="D107" s="1" t="s">
        <v>528</v>
      </c>
      <c r="E107" s="1" t="s">
        <v>529</v>
      </c>
      <c r="F107" s="1" t="s">
        <v>530</v>
      </c>
      <c r="G107" s="1" t="str">
        <f t="array" ref="G107:G108">IF(ISBLANK(B107:B900), "", XLOOKUP(B107:B900, Sheet1!A107:A266, Sheet1!C107:C266, "Category Not Found", 0))</f>
        <v>#REF!</v>
      </c>
    </row>
    <row r="108">
      <c r="A108" s="1"/>
      <c r="B108" s="1" t="s">
        <v>531</v>
      </c>
      <c r="C108" s="1" t="s">
        <v>532</v>
      </c>
      <c r="D108" s="1" t="s">
        <v>533</v>
      </c>
      <c r="E108" s="1" t="s">
        <v>534</v>
      </c>
      <c r="G108" s="2" t="str">
        <f t="array" ref="G108:G109">IF(ISBLANK(B108:B901), "", XLOOKUP(B108:B901, Sheet1!A108:A267, Sheet1!C108:C267, "Category Not Found", 0))</f>
        <v>#REF!</v>
      </c>
    </row>
    <row r="109">
      <c r="A109" s="1"/>
      <c r="B109" s="1" t="s">
        <v>535</v>
      </c>
      <c r="C109" s="1" t="s">
        <v>536</v>
      </c>
      <c r="D109" s="1" t="s">
        <v>537</v>
      </c>
      <c r="E109" s="1" t="s">
        <v>538</v>
      </c>
      <c r="F109" s="1" t="s">
        <v>539</v>
      </c>
      <c r="G109" s="1" t="str">
        <f t="array" ref="G109:G110">IF(ISBLANK(B109:B902), "", XLOOKUP(B109:B902, Sheet1!A109:A268, Sheet1!C109:C268, "Category Not Found", 0))</f>
        <v>#REF!</v>
      </c>
    </row>
    <row r="110">
      <c r="A110" s="1"/>
      <c r="B110" s="1" t="s">
        <v>540</v>
      </c>
      <c r="C110" s="1" t="s">
        <v>541</v>
      </c>
      <c r="D110" s="1" t="s">
        <v>542</v>
      </c>
      <c r="E110" s="1" t="s">
        <v>543</v>
      </c>
      <c r="F110" s="1" t="s">
        <v>544</v>
      </c>
      <c r="G110" s="1" t="str">
        <f t="array" ref="G110:G111">IF(ISBLANK(B110:B903), "", XLOOKUP(B110:B903, Sheet1!A110:A269, Sheet1!C110:C269, "Category Not Found", 0))</f>
        <v>#REF!</v>
      </c>
    </row>
    <row r="111">
      <c r="A111" s="1"/>
      <c r="B111" s="1" t="s">
        <v>545</v>
      </c>
      <c r="C111" s="1" t="s">
        <v>546</v>
      </c>
      <c r="D111" s="1" t="s">
        <v>547</v>
      </c>
      <c r="E111" s="1" t="s">
        <v>548</v>
      </c>
      <c r="F111" s="1" t="s">
        <v>549</v>
      </c>
      <c r="G111" s="1" t="str">
        <f t="array" ref="G111:G112">IF(ISBLANK(B111:B904), "", XLOOKUP(B111:B904, Sheet1!A111:A270, Sheet1!C111:C270, "Category Not Found", 0))</f>
        <v>#REF!</v>
      </c>
    </row>
    <row r="112">
      <c r="A112" s="1"/>
      <c r="B112" s="1" t="s">
        <v>550</v>
      </c>
      <c r="C112" s="1" t="s">
        <v>551</v>
      </c>
      <c r="D112" s="1" t="s">
        <v>552</v>
      </c>
      <c r="E112" s="1" t="s">
        <v>553</v>
      </c>
      <c r="F112" s="1" t="s">
        <v>554</v>
      </c>
      <c r="G112" s="1" t="str">
        <f t="array" ref="G112:G113">IF(ISBLANK(B112:B905), "", XLOOKUP(B112:B905, Sheet1!A112:A271, Sheet1!C112:C271, "Category Not Found", 0))</f>
        <v>#REF!</v>
      </c>
    </row>
    <row r="113">
      <c r="A113" s="1"/>
      <c r="B113" s="1" t="s">
        <v>555</v>
      </c>
      <c r="C113" s="1" t="s">
        <v>556</v>
      </c>
      <c r="D113" s="1" t="s">
        <v>557</v>
      </c>
      <c r="E113" s="1" t="s">
        <v>558</v>
      </c>
      <c r="F113" s="1" t="s">
        <v>559</v>
      </c>
      <c r="G113" s="1" t="str">
        <f t="array" ref="G113:G114">IF(ISBLANK(B113:B906), "", XLOOKUP(B113:B906, Sheet1!A113:A272, Sheet1!C113:C272, "Category Not Found", 0))</f>
        <v>#REF!</v>
      </c>
    </row>
    <row r="114">
      <c r="A114" s="1"/>
      <c r="B114" s="1" t="s">
        <v>560</v>
      </c>
      <c r="C114" s="1" t="s">
        <v>561</v>
      </c>
      <c r="D114" s="1" t="s">
        <v>562</v>
      </c>
      <c r="E114" s="1" t="s">
        <v>563</v>
      </c>
      <c r="F114" s="1" t="s">
        <v>564</v>
      </c>
      <c r="G114" s="1" t="str">
        <f t="array" ref="G114:G115">IF(ISBLANK(B114:B907), "", XLOOKUP(B114:B907, Sheet1!A114:A273, Sheet1!C114:C273, "Category Not Found", 0))</f>
        <v>#REF!</v>
      </c>
    </row>
    <row r="115">
      <c r="A115" s="1"/>
      <c r="B115" s="1" t="s">
        <v>565</v>
      </c>
      <c r="C115" s="1" t="s">
        <v>566</v>
      </c>
      <c r="D115" s="1" t="s">
        <v>567</v>
      </c>
      <c r="E115" s="1" t="s">
        <v>568</v>
      </c>
      <c r="F115" s="1" t="s">
        <v>569</v>
      </c>
      <c r="G115" s="1" t="str">
        <f t="array" ref="G115:G116">IF(ISBLANK(B115:B908), "", XLOOKUP(B115:B908, Sheet1!A115:A274, Sheet1!C115:C274, "Category Not Found", 0))</f>
        <v>#REF!</v>
      </c>
    </row>
    <row r="116">
      <c r="A116" s="1"/>
      <c r="B116" s="1" t="s">
        <v>570</v>
      </c>
      <c r="C116" s="1" t="s">
        <v>571</v>
      </c>
      <c r="D116" s="1" t="s">
        <v>572</v>
      </c>
      <c r="E116" s="1" t="s">
        <v>573</v>
      </c>
      <c r="F116" s="1" t="s">
        <v>574</v>
      </c>
      <c r="G116" s="1" t="str">
        <f t="array" ref="G116:G117">IF(ISBLANK(B116:B909), "", XLOOKUP(B116:B909, Sheet1!A116:A275, Sheet1!C116:C275, "Category Not Found", 0))</f>
        <v>#REF!</v>
      </c>
    </row>
    <row r="117">
      <c r="A117" s="1"/>
      <c r="B117" s="1" t="s">
        <v>575</v>
      </c>
      <c r="C117" s="1" t="s">
        <v>576</v>
      </c>
      <c r="D117" s="1" t="s">
        <v>577</v>
      </c>
      <c r="E117" s="1" t="s">
        <v>578</v>
      </c>
      <c r="F117" s="1" t="s">
        <v>579</v>
      </c>
      <c r="G117" s="1" t="str">
        <f t="array" ref="G117:G118">IF(ISBLANK(B117:B910), "", XLOOKUP(B117:B910, Sheet1!A117:A276, Sheet1!C117:C276, "Category Not Found", 0))</f>
        <v>#REF!</v>
      </c>
    </row>
    <row r="118">
      <c r="A118" s="1"/>
      <c r="B118" s="1" t="s">
        <v>580</v>
      </c>
      <c r="C118" s="1" t="s">
        <v>581</v>
      </c>
      <c r="D118" s="1" t="s">
        <v>582</v>
      </c>
      <c r="E118" s="1" t="s">
        <v>583</v>
      </c>
      <c r="F118" s="1" t="s">
        <v>584</v>
      </c>
      <c r="G118" s="1" t="str">
        <f t="array" ref="G118:G119">IF(ISBLANK(B118:B911), "", XLOOKUP(B118:B911, Sheet1!A118:A277, Sheet1!C118:C277, "Category Not Found", 0))</f>
        <v>#REF!</v>
      </c>
    </row>
    <row r="119">
      <c r="A119" s="1"/>
      <c r="B119" s="1" t="s">
        <v>585</v>
      </c>
      <c r="C119" s="1" t="s">
        <v>586</v>
      </c>
      <c r="D119" s="1" t="s">
        <v>587</v>
      </c>
      <c r="E119" s="1" t="s">
        <v>588</v>
      </c>
      <c r="F119" s="1" t="s">
        <v>589</v>
      </c>
      <c r="G119" s="1" t="str">
        <f t="array" ref="G119:G120">IF(ISBLANK(B119:B912), "", XLOOKUP(B119:B912, Sheet1!A119:A278, Sheet1!C119:C278, "Category Not Found", 0))</f>
        <v>#REF!</v>
      </c>
    </row>
    <row r="120">
      <c r="A120" s="1"/>
      <c r="B120" s="1" t="s">
        <v>590</v>
      </c>
      <c r="C120" s="1" t="s">
        <v>591</v>
      </c>
      <c r="D120" s="1" t="s">
        <v>592</v>
      </c>
      <c r="E120" s="1" t="s">
        <v>593</v>
      </c>
      <c r="F120" s="1" t="s">
        <v>594</v>
      </c>
      <c r="G120" s="1" t="str">
        <f t="array" ref="G120:G121">IF(ISBLANK(B120:B913), "", XLOOKUP(B120:B913, Sheet1!A120:A279, Sheet1!C120:C279, "Category Not Found", 0))</f>
        <v>#REF!</v>
      </c>
    </row>
    <row r="121">
      <c r="A121" s="1"/>
      <c r="B121" s="1" t="s">
        <v>595</v>
      </c>
      <c r="C121" s="1" t="s">
        <v>596</v>
      </c>
      <c r="D121" s="1" t="s">
        <v>597</v>
      </c>
      <c r="E121" s="1" t="s">
        <v>598</v>
      </c>
      <c r="F121" s="1" t="s">
        <v>599</v>
      </c>
      <c r="G121" s="1" t="str">
        <f t="array" ref="G121:G122">IF(ISBLANK(B121:B914), "", XLOOKUP(B121:B914, Sheet1!A121:A280, Sheet1!C121:C280, "Category Not Found", 0))</f>
        <v>#REF!</v>
      </c>
    </row>
    <row r="122">
      <c r="A122" s="1"/>
      <c r="B122" s="1" t="s">
        <v>600</v>
      </c>
      <c r="C122" s="1" t="s">
        <v>601</v>
      </c>
      <c r="D122" s="1" t="s">
        <v>602</v>
      </c>
      <c r="E122" s="1" t="s">
        <v>603</v>
      </c>
      <c r="F122" s="1" t="s">
        <v>604</v>
      </c>
      <c r="G122" s="1" t="str">
        <f t="array" ref="G122:G123">IF(ISBLANK(B122:B915), "", XLOOKUP(B122:B915, Sheet1!A122:A281, Sheet1!C122:C281, "Category Not Found", 0))</f>
        <v>#REF!</v>
      </c>
    </row>
    <row r="123">
      <c r="A123" s="1"/>
      <c r="B123" s="1" t="s">
        <v>605</v>
      </c>
      <c r="C123" s="1" t="s">
        <v>606</v>
      </c>
      <c r="D123" s="1" t="s">
        <v>607</v>
      </c>
      <c r="E123" s="1" t="s">
        <v>608</v>
      </c>
      <c r="F123" s="1" t="s">
        <v>609</v>
      </c>
      <c r="G123" s="1" t="str">
        <f t="array" ref="G123:G124">IF(ISBLANK(B123:B916), "", XLOOKUP(B123:B916, Sheet1!A123:A282, Sheet1!C123:C282, "Category Not Found", 0))</f>
        <v>#REF!</v>
      </c>
    </row>
    <row r="124">
      <c r="A124" s="1"/>
      <c r="B124" s="1" t="s">
        <v>610</v>
      </c>
      <c r="C124" s="1" t="s">
        <v>611</v>
      </c>
      <c r="D124" s="1" t="s">
        <v>612</v>
      </c>
      <c r="E124" s="1" t="s">
        <v>613</v>
      </c>
      <c r="F124" s="1" t="s">
        <v>614</v>
      </c>
      <c r="G124" s="1" t="str">
        <f t="array" ref="G124:G125">IF(ISBLANK(B124:B917), "", XLOOKUP(B124:B917, Sheet1!A124:A283, Sheet1!C124:C283, "Category Not Found", 0))</f>
        <v>#REF!</v>
      </c>
    </row>
    <row r="125">
      <c r="A125" s="1"/>
      <c r="B125" s="1" t="s">
        <v>615</v>
      </c>
      <c r="C125" s="1" t="s">
        <v>616</v>
      </c>
      <c r="D125" s="1" t="s">
        <v>617</v>
      </c>
      <c r="E125" s="1" t="s">
        <v>618</v>
      </c>
      <c r="F125" s="1" t="s">
        <v>619</v>
      </c>
      <c r="G125" s="1" t="str">
        <f t="array" ref="G125:G126">IF(ISBLANK(B125:B918), "", XLOOKUP(B125:B918, Sheet1!A125:A284, Sheet1!C125:C284, "Category Not Found", 0))</f>
        <v>#REF!</v>
      </c>
    </row>
    <row r="126">
      <c r="A126" s="1"/>
      <c r="B126" s="1" t="s">
        <v>620</v>
      </c>
      <c r="C126" s="1" t="s">
        <v>621</v>
      </c>
      <c r="D126" s="1" t="s">
        <v>622</v>
      </c>
      <c r="E126" s="1" t="s">
        <v>623</v>
      </c>
      <c r="F126" s="1" t="s">
        <v>624</v>
      </c>
      <c r="G126" s="1" t="str">
        <f t="array" ref="G126:G127">IF(ISBLANK(B126:B919), "", XLOOKUP(B126:B919, Sheet1!A126:A285, Sheet1!C126:C285, "Category Not Found", 0))</f>
        <v>#REF!</v>
      </c>
    </row>
    <row r="127">
      <c r="A127" s="1"/>
      <c r="B127" s="1" t="s">
        <v>625</v>
      </c>
      <c r="C127" s="1" t="s">
        <v>626</v>
      </c>
      <c r="D127" s="1" t="s">
        <v>627</v>
      </c>
      <c r="E127" s="1" t="s">
        <v>628</v>
      </c>
      <c r="F127" s="1" t="s">
        <v>629</v>
      </c>
      <c r="G127" s="1" t="str">
        <f t="array" ref="G127:G128">IF(ISBLANK(B127:B920), "", XLOOKUP(B127:B920, Sheet1!A127:A286, Sheet1!C127:C286, "Category Not Found", 0))</f>
        <v>#REF!</v>
      </c>
    </row>
    <row r="128">
      <c r="A128" s="1"/>
      <c r="B128" s="1" t="s">
        <v>630</v>
      </c>
      <c r="C128" s="1" t="s">
        <v>631</v>
      </c>
      <c r="D128" s="1" t="s">
        <v>632</v>
      </c>
      <c r="E128" s="1" t="s">
        <v>573</v>
      </c>
      <c r="F128" s="1" t="s">
        <v>633</v>
      </c>
      <c r="G128" s="1" t="str">
        <f t="array" ref="G128:G129">IF(ISBLANK(B128:B921), "", XLOOKUP(B128:B921, Sheet1!A128:A287, Sheet1!C128:C287, "Category Not Found", 0))</f>
        <v>#REF!</v>
      </c>
    </row>
    <row r="129">
      <c r="A129" s="1"/>
      <c r="B129" s="1" t="s">
        <v>634</v>
      </c>
      <c r="C129" s="1" t="s">
        <v>635</v>
      </c>
      <c r="D129" s="1" t="s">
        <v>636</v>
      </c>
      <c r="E129" s="1" t="s">
        <v>637</v>
      </c>
      <c r="F129" s="1" t="s">
        <v>638</v>
      </c>
      <c r="G129" s="1" t="str">
        <f t="array" ref="G129:G130">IF(ISBLANK(B129:B922), "", XLOOKUP(B129:B922, Sheet1!A129:A288, Sheet1!C129:C288, "Category Not Found", 0))</f>
        <v>#REF!</v>
      </c>
    </row>
    <row r="130">
      <c r="A130" s="1"/>
      <c r="B130" s="1" t="s">
        <v>639</v>
      </c>
      <c r="C130" s="1" t="s">
        <v>640</v>
      </c>
      <c r="D130" s="1" t="s">
        <v>641</v>
      </c>
      <c r="E130" s="1" t="s">
        <v>642</v>
      </c>
      <c r="F130" s="1" t="s">
        <v>643</v>
      </c>
      <c r="G130" s="1" t="str">
        <f t="array" ref="G130:G131">IF(ISBLANK(B130:B923), "", XLOOKUP(B130:B923, Sheet1!A130:A289, Sheet1!C130:C289, "Category Not Found", 0))</f>
        <v>#REF!</v>
      </c>
    </row>
    <row r="131">
      <c r="A131" s="1"/>
      <c r="B131" s="1" t="s">
        <v>644</v>
      </c>
      <c r="C131" s="1" t="s">
        <v>645</v>
      </c>
      <c r="D131" s="1" t="s">
        <v>646</v>
      </c>
      <c r="E131" s="1" t="s">
        <v>647</v>
      </c>
      <c r="F131" s="1" t="s">
        <v>648</v>
      </c>
      <c r="G131" s="1" t="str">
        <f t="array" ref="G131:G132">IF(ISBLANK(B131:B924), "", XLOOKUP(B131:B924, Sheet1!A131:A290, Sheet1!C131:C290, "Category Not Found", 0))</f>
        <v>#REF!</v>
      </c>
    </row>
    <row r="132">
      <c r="A132" s="1"/>
      <c r="B132" s="1" t="s">
        <v>649</v>
      </c>
      <c r="C132" s="1" t="s">
        <v>650</v>
      </c>
      <c r="D132" s="1" t="s">
        <v>651</v>
      </c>
      <c r="E132" s="1" t="s">
        <v>652</v>
      </c>
      <c r="F132" s="1" t="s">
        <v>653</v>
      </c>
      <c r="G132" s="1" t="str">
        <f t="array" ref="G132:G133">IF(ISBLANK(B132:B925), "", XLOOKUP(B132:B925, Sheet1!A132:A291, Sheet1!C132:C291, "Category Not Found", 0))</f>
        <v>#REF!</v>
      </c>
    </row>
    <row r="133">
      <c r="A133" s="1"/>
      <c r="B133" s="1" t="s">
        <v>654</v>
      </c>
      <c r="C133" s="1" t="s">
        <v>655</v>
      </c>
      <c r="D133" s="1" t="s">
        <v>656</v>
      </c>
      <c r="E133" s="1" t="s">
        <v>657</v>
      </c>
      <c r="F133" s="1" t="s">
        <v>658</v>
      </c>
      <c r="G133" s="1" t="str">
        <f t="array" ref="G133:G134">IF(ISBLANK(B133:B926), "", XLOOKUP(B133:B926, Sheet1!A133:A292, Sheet1!C133:C292, "Category Not Found", 0))</f>
        <v>#REF!</v>
      </c>
    </row>
    <row r="134">
      <c r="A134" s="1"/>
      <c r="B134" s="1" t="s">
        <v>659</v>
      </c>
      <c r="C134" s="1" t="s">
        <v>660</v>
      </c>
      <c r="D134" s="1" t="s">
        <v>661</v>
      </c>
      <c r="E134" s="1" t="s">
        <v>662</v>
      </c>
      <c r="F134" s="1" t="s">
        <v>663</v>
      </c>
      <c r="G134" s="1" t="str">
        <f t="array" ref="G134:G135">IF(ISBLANK(B134:B927), "", XLOOKUP(B134:B927, Sheet1!A134:A293, Sheet1!C134:C293, "Category Not Found", 0))</f>
        <v>#REF!</v>
      </c>
    </row>
    <row r="135">
      <c r="A135" s="1"/>
      <c r="B135" s="1" t="s">
        <v>664</v>
      </c>
      <c r="C135" s="1" t="s">
        <v>665</v>
      </c>
      <c r="D135" s="1" t="s">
        <v>666</v>
      </c>
      <c r="E135" s="1" t="s">
        <v>667</v>
      </c>
      <c r="F135" s="1" t="s">
        <v>668</v>
      </c>
      <c r="G135" s="1" t="str">
        <f t="array" ref="G135:G136">IF(ISBLANK(B135:B928), "", XLOOKUP(B135:B928, Sheet1!A135:A294, Sheet1!C135:C294, "Category Not Found", 0))</f>
        <v>#REF!</v>
      </c>
    </row>
    <row r="136">
      <c r="A136" s="1"/>
      <c r="B136" s="1" t="s">
        <v>669</v>
      </c>
      <c r="C136" s="1" t="s">
        <v>670</v>
      </c>
      <c r="D136" s="1" t="s">
        <v>671</v>
      </c>
      <c r="E136" s="1" t="s">
        <v>672</v>
      </c>
      <c r="F136" s="1" t="s">
        <v>673</v>
      </c>
      <c r="G136" s="1" t="str">
        <f t="array" ref="G136:G137">IF(ISBLANK(B136:B929), "", XLOOKUP(B136:B929, Sheet1!A136:A295, Sheet1!C136:C295, "Category Not Found", 0))</f>
        <v>#REF!</v>
      </c>
    </row>
    <row r="137">
      <c r="A137" s="1"/>
      <c r="B137" s="1" t="s">
        <v>674</v>
      </c>
      <c r="C137" s="1" t="s">
        <v>675</v>
      </c>
      <c r="D137" s="1" t="s">
        <v>676</v>
      </c>
      <c r="E137" s="1" t="s">
        <v>677</v>
      </c>
      <c r="F137" s="1" t="s">
        <v>678</v>
      </c>
      <c r="G137" s="1" t="str">
        <f t="array" ref="G137:G138">IF(ISBLANK(B137:B930), "", XLOOKUP(B137:B930, Sheet1!A137:A296, Sheet1!C137:C296, "Category Not Found", 0))</f>
        <v>#REF!</v>
      </c>
    </row>
    <row r="138">
      <c r="A138" s="1"/>
      <c r="B138" s="1" t="s">
        <v>679</v>
      </c>
      <c r="C138" s="1" t="s">
        <v>680</v>
      </c>
      <c r="D138" s="1" t="s">
        <v>681</v>
      </c>
      <c r="E138" s="1" t="s">
        <v>682</v>
      </c>
      <c r="F138" s="1" t="s">
        <v>683</v>
      </c>
      <c r="G138" s="1" t="str">
        <f t="array" ref="G138:G139">IF(ISBLANK(B138:B931), "", XLOOKUP(B138:B931, Sheet1!A138:A297, Sheet1!C138:C297, "Category Not Found", 0))</f>
        <v>#REF!</v>
      </c>
    </row>
    <row r="139">
      <c r="A139" s="1"/>
      <c r="B139" s="1" t="s">
        <v>684</v>
      </c>
      <c r="C139" s="1" t="s">
        <v>685</v>
      </c>
      <c r="D139" s="1" t="s">
        <v>686</v>
      </c>
      <c r="E139" s="1" t="s">
        <v>687</v>
      </c>
      <c r="F139" s="1" t="s">
        <v>688</v>
      </c>
      <c r="G139" s="1" t="str">
        <f t="array" ref="G139:G140">IF(ISBLANK(B139:B932), "", XLOOKUP(B139:B932, Sheet1!A139:A298, Sheet1!C139:C298, "Category Not Found", 0))</f>
        <v>#REF!</v>
      </c>
    </row>
    <row r="140">
      <c r="A140" s="1"/>
      <c r="B140" s="1" t="s">
        <v>689</v>
      </c>
      <c r="C140" s="1" t="s">
        <v>690</v>
      </c>
      <c r="D140" s="1" t="s">
        <v>691</v>
      </c>
      <c r="E140" s="1" t="s">
        <v>692</v>
      </c>
      <c r="F140" s="1" t="s">
        <v>693</v>
      </c>
      <c r="G140" s="1" t="str">
        <f t="array" ref="G140:G141">IF(ISBLANK(B140:B933), "", XLOOKUP(B140:B933, Sheet1!A140:A299, Sheet1!C140:C299, "Category Not Found", 0))</f>
        <v>#REF!</v>
      </c>
    </row>
    <row r="141">
      <c r="A141" s="1"/>
      <c r="B141" s="1" t="s">
        <v>694</v>
      </c>
      <c r="C141" s="1" t="s">
        <v>695</v>
      </c>
      <c r="D141" s="1" t="s">
        <v>696</v>
      </c>
      <c r="E141" s="1" t="s">
        <v>697</v>
      </c>
      <c r="F141" s="1" t="s">
        <v>698</v>
      </c>
      <c r="G141" s="1" t="str">
        <f t="array" ref="G141:G142">IF(ISBLANK(B141:B934), "", XLOOKUP(B141:B934, Sheet1!A141:A300, Sheet1!C141:C300, "Category Not Found", 0))</f>
        <v>#REF!</v>
      </c>
    </row>
    <row r="142">
      <c r="A142" s="1"/>
      <c r="B142" s="1" t="s">
        <v>699</v>
      </c>
      <c r="C142" s="1" t="s">
        <v>700</v>
      </c>
      <c r="D142" s="1" t="s">
        <v>701</v>
      </c>
      <c r="E142" s="1" t="s">
        <v>702</v>
      </c>
      <c r="F142" s="1" t="s">
        <v>703</v>
      </c>
      <c r="G142" s="1" t="str">
        <f t="array" ref="G142:G143">IF(ISBLANK(B142:B935), "", XLOOKUP(B142:B935, Sheet1!A142:A301, Sheet1!C142:C301, "Category Not Found", 0))</f>
        <v>#REF!</v>
      </c>
    </row>
    <row r="143">
      <c r="A143" s="1"/>
      <c r="B143" s="1" t="s">
        <v>704</v>
      </c>
      <c r="C143" s="1" t="s">
        <v>705</v>
      </c>
      <c r="D143" s="1" t="s">
        <v>706</v>
      </c>
      <c r="E143" s="1" t="s">
        <v>707</v>
      </c>
      <c r="F143" s="1" t="s">
        <v>708</v>
      </c>
      <c r="G143" s="1" t="str">
        <f t="array" ref="G143:G144">IF(ISBLANK(B143:B936), "", XLOOKUP(B143:B936, Sheet1!A143:A302, Sheet1!C143:C302, "Category Not Found", 0))</f>
        <v>#REF!</v>
      </c>
    </row>
    <row r="144">
      <c r="A144" s="1"/>
      <c r="B144" s="1" t="s">
        <v>709</v>
      </c>
      <c r="C144" s="1" t="s">
        <v>710</v>
      </c>
      <c r="D144" s="1" t="s">
        <v>711</v>
      </c>
      <c r="E144" s="1" t="s">
        <v>712</v>
      </c>
      <c r="F144" s="1" t="s">
        <v>713</v>
      </c>
      <c r="G144" s="1" t="str">
        <f t="array" ref="G144:G145">IF(ISBLANK(B144:B937), "", XLOOKUP(B144:B937, Sheet1!A144:A303, Sheet1!C144:C303, "Category Not Found", 0))</f>
        <v>#REF!</v>
      </c>
    </row>
    <row r="145">
      <c r="A145" s="1"/>
      <c r="B145" s="1" t="s">
        <v>714</v>
      </c>
      <c r="C145" s="1" t="s">
        <v>715</v>
      </c>
      <c r="D145" s="1" t="s">
        <v>716</v>
      </c>
      <c r="E145" s="1" t="s">
        <v>717</v>
      </c>
      <c r="F145" s="1" t="s">
        <v>718</v>
      </c>
      <c r="G145" s="1" t="str">
        <f t="array" ref="G145:G146">IF(ISBLANK(B145:B938), "", XLOOKUP(B145:B938, Sheet1!A145:A304, Sheet1!C145:C304, "Category Not Found", 0))</f>
        <v>#REF!</v>
      </c>
    </row>
    <row r="146">
      <c r="A146" s="1"/>
      <c r="B146" s="1" t="s">
        <v>719</v>
      </c>
      <c r="C146" s="1" t="s">
        <v>720</v>
      </c>
      <c r="D146" s="1" t="s">
        <v>721</v>
      </c>
      <c r="E146" s="1" t="s">
        <v>722</v>
      </c>
      <c r="F146" s="1" t="s">
        <v>723</v>
      </c>
      <c r="G146" s="1" t="str">
        <f t="array" ref="G146:G147">IF(ISBLANK(B146:B939), "", XLOOKUP(B146:B939, Sheet1!A146:A305, Sheet1!C146:C305, "Category Not Found", 0))</f>
        <v>#REF!</v>
      </c>
    </row>
    <row r="147">
      <c r="A147" s="1"/>
      <c r="B147" s="1" t="s">
        <v>724</v>
      </c>
      <c r="C147" s="1" t="s">
        <v>725</v>
      </c>
      <c r="D147" s="1" t="s">
        <v>726</v>
      </c>
      <c r="E147" s="1" t="s">
        <v>722</v>
      </c>
      <c r="F147" s="1" t="s">
        <v>727</v>
      </c>
      <c r="G147" s="1" t="str">
        <f t="array" ref="G147:G148">IF(ISBLANK(B147:B940), "", XLOOKUP(B147:B940, Sheet1!A147:A306, Sheet1!C147:C306, "Category Not Found", 0))</f>
        <v>#REF!</v>
      </c>
    </row>
    <row r="148">
      <c r="A148" s="1"/>
      <c r="B148" s="1" t="s">
        <v>728</v>
      </c>
      <c r="C148" s="1" t="s">
        <v>729</v>
      </c>
      <c r="D148" s="1" t="s">
        <v>730</v>
      </c>
      <c r="E148" s="1" t="s">
        <v>731</v>
      </c>
      <c r="F148" s="1" t="s">
        <v>732</v>
      </c>
      <c r="G148" s="1" t="str">
        <f t="array" ref="G148:G149">IF(ISBLANK(B148:B941), "", XLOOKUP(B148:B941, Sheet1!A148:A307, Sheet1!C148:C307, "Category Not Found", 0))</f>
        <v>#REF!</v>
      </c>
    </row>
    <row r="149">
      <c r="A149" s="1"/>
      <c r="B149" s="1" t="s">
        <v>733</v>
      </c>
      <c r="C149" s="1" t="s">
        <v>734</v>
      </c>
      <c r="D149" s="1" t="s">
        <v>735</v>
      </c>
      <c r="E149" s="1" t="s">
        <v>736</v>
      </c>
      <c r="F149" s="1" t="s">
        <v>737</v>
      </c>
      <c r="G149" s="1" t="str">
        <f t="array" ref="G149:G150">IF(ISBLANK(B149:B942), "", XLOOKUP(B149:B942, Sheet1!A149:A308, Sheet1!C149:C308, "Category Not Found", 0))</f>
        <v>#REF!</v>
      </c>
    </row>
    <row r="150">
      <c r="A150" s="1"/>
      <c r="B150" s="1" t="s">
        <v>738</v>
      </c>
      <c r="C150" s="1" t="s">
        <v>739</v>
      </c>
      <c r="D150" s="1" t="s">
        <v>740</v>
      </c>
      <c r="E150" s="1" t="s">
        <v>741</v>
      </c>
      <c r="F150" s="1" t="s">
        <v>742</v>
      </c>
      <c r="G150" s="1" t="str">
        <f t="array" ref="G150:G151">IF(ISBLANK(B150:B943), "", XLOOKUP(B150:B943, Sheet1!A150:A309, Sheet1!C150:C309, "Category Not Found", 0))</f>
        <v>#REF!</v>
      </c>
    </row>
    <row r="151">
      <c r="A151" s="1"/>
      <c r="B151" s="1" t="s">
        <v>743</v>
      </c>
      <c r="C151" s="1" t="s">
        <v>744</v>
      </c>
      <c r="D151" s="1" t="s">
        <v>745</v>
      </c>
      <c r="E151" s="1" t="s">
        <v>746</v>
      </c>
      <c r="F151" s="1" t="s">
        <v>747</v>
      </c>
      <c r="G151" s="1" t="str">
        <f t="array" ref="G151:G152">IF(ISBLANK(B151:B944), "", XLOOKUP(B151:B944, Sheet1!A151:A310, Sheet1!C151:C310, "Category Not Found", 0))</f>
        <v>#REF!</v>
      </c>
    </row>
    <row r="152">
      <c r="A152" s="1"/>
      <c r="B152" s="1" t="s">
        <v>748</v>
      </c>
      <c r="C152" s="1" t="s">
        <v>749</v>
      </c>
      <c r="D152" s="1" t="s">
        <v>750</v>
      </c>
      <c r="E152" s="1" t="s">
        <v>751</v>
      </c>
      <c r="F152" s="1" t="s">
        <v>752</v>
      </c>
      <c r="G152" s="1" t="str">
        <f t="array" ref="G152:G153">IF(ISBLANK(B152:B945), "", XLOOKUP(B152:B945, Sheet1!A152:A311, Sheet1!C152:C311, "Category Not Found", 0))</f>
        <v>#REF!</v>
      </c>
    </row>
    <row r="153">
      <c r="A153" s="1"/>
      <c r="B153" s="1" t="s">
        <v>753</v>
      </c>
      <c r="C153" s="1" t="s">
        <v>754</v>
      </c>
      <c r="D153" s="1" t="s">
        <v>755</v>
      </c>
      <c r="E153" s="1" t="s">
        <v>756</v>
      </c>
      <c r="F153" s="1" t="s">
        <v>757</v>
      </c>
      <c r="G153" s="1" t="str">
        <f t="array" ref="G153:G154">IF(ISBLANK(B153:B946), "", XLOOKUP(B153:B946, Sheet1!A153:A312, Sheet1!C153:C312, "Category Not Found", 0))</f>
        <v>#REF!</v>
      </c>
    </row>
    <row r="154">
      <c r="A154" s="1"/>
      <c r="B154" s="1" t="s">
        <v>758</v>
      </c>
      <c r="C154" s="1" t="s">
        <v>759</v>
      </c>
      <c r="D154" s="1" t="s">
        <v>760</v>
      </c>
      <c r="E154" s="1" t="s">
        <v>761</v>
      </c>
      <c r="F154" s="1" t="s">
        <v>762</v>
      </c>
      <c r="G154" s="1" t="str">
        <f t="array" ref="G154:G155">IF(ISBLANK(B154:B947), "", XLOOKUP(B154:B947, Sheet1!A154:A313, Sheet1!C154:C313, "Category Not Found", 0))</f>
        <v>#REF!</v>
      </c>
    </row>
    <row r="155">
      <c r="A155" s="1"/>
      <c r="B155" s="1" t="s">
        <v>763</v>
      </c>
      <c r="C155" s="1" t="s">
        <v>764</v>
      </c>
      <c r="D155" s="1" t="s">
        <v>765</v>
      </c>
      <c r="E155" s="1" t="s">
        <v>766</v>
      </c>
      <c r="F155" s="1" t="s">
        <v>767</v>
      </c>
      <c r="G155" s="1" t="str">
        <f t="array" ref="G155:G156">IF(ISBLANK(B155:B948), "", XLOOKUP(B155:B948, Sheet1!A155:A314, Sheet1!C155:C314, "Category Not Found", 0))</f>
        <v>#REF!</v>
      </c>
    </row>
    <row r="156">
      <c r="A156" s="1"/>
      <c r="B156" s="1" t="s">
        <v>768</v>
      </c>
      <c r="C156" s="1" t="s">
        <v>769</v>
      </c>
      <c r="D156" s="1" t="s">
        <v>770</v>
      </c>
      <c r="E156" s="1" t="s">
        <v>771</v>
      </c>
      <c r="F156" s="1" t="s">
        <v>772</v>
      </c>
      <c r="G156" s="1" t="str">
        <f t="array" ref="G156:G157">IF(ISBLANK(B156:B949), "", XLOOKUP(B156:B949, Sheet1!A156:A315, Sheet1!C156:C315, "Category Not Found", 0))</f>
        <v>#REF!</v>
      </c>
    </row>
    <row r="157">
      <c r="A157" s="1"/>
      <c r="B157" s="1" t="s">
        <v>773</v>
      </c>
      <c r="C157" s="1" t="s">
        <v>774</v>
      </c>
      <c r="D157" s="1" t="s">
        <v>775</v>
      </c>
      <c r="E157" s="1" t="s">
        <v>776</v>
      </c>
      <c r="F157" s="1" t="s">
        <v>777</v>
      </c>
      <c r="G157" s="1" t="str">
        <f t="array" ref="G157:G158">IF(ISBLANK(B157:B950), "", XLOOKUP(B157:B950, Sheet1!A157:A316, Sheet1!C157:C316, "Category Not Found", 0))</f>
        <v>#REF!</v>
      </c>
    </row>
    <row r="158">
      <c r="A158" s="1"/>
      <c r="B158" s="1" t="s">
        <v>778</v>
      </c>
      <c r="C158" s="1" t="s">
        <v>779</v>
      </c>
      <c r="D158" s="1" t="s">
        <v>780</v>
      </c>
      <c r="E158" s="1" t="s">
        <v>781</v>
      </c>
      <c r="F158" s="1" t="s">
        <v>782</v>
      </c>
      <c r="G158" s="1" t="str">
        <f t="array" ref="G158:G159">IF(ISBLANK(B158:B951), "", XLOOKUP(B158:B951, Sheet1!A158:A317, Sheet1!C158:C317, "Category Not Found", 0))</f>
        <v>#REF!</v>
      </c>
    </row>
    <row r="159">
      <c r="A159" s="1"/>
      <c r="B159" s="1" t="s">
        <v>783</v>
      </c>
      <c r="C159" s="1" t="s">
        <v>784</v>
      </c>
      <c r="D159" s="1" t="s">
        <v>785</v>
      </c>
      <c r="E159" s="1" t="s">
        <v>786</v>
      </c>
      <c r="F159" s="1" t="s">
        <v>787</v>
      </c>
      <c r="G159" s="1" t="str">
        <f t="array" ref="G159:G160">IF(ISBLANK(B159:B952), "", XLOOKUP(B159:B952, Sheet1!A159:A318, Sheet1!C159:C318, "Category Not Found", 0))</f>
        <v>#REF!</v>
      </c>
    </row>
    <row r="160">
      <c r="A160" s="1"/>
      <c r="B160" s="1" t="s">
        <v>788</v>
      </c>
      <c r="C160" s="1" t="s">
        <v>789</v>
      </c>
      <c r="D160" s="1" t="s">
        <v>790</v>
      </c>
      <c r="E160" s="1" t="s">
        <v>791</v>
      </c>
      <c r="F160" s="1" t="s">
        <v>792</v>
      </c>
      <c r="G160" s="1" t="str">
        <f t="array" ref="G160:G161">IF(ISBLANK(B160:B953), "", XLOOKUP(B160:B953, Sheet1!A160:A319, Sheet1!C160:C319, "Category Not Found", 0))</f>
        <v>#REF!</v>
      </c>
    </row>
    <row r="161">
      <c r="A161" s="1"/>
      <c r="B161" s="1" t="s">
        <v>793</v>
      </c>
      <c r="C161" s="1" t="s">
        <v>794</v>
      </c>
      <c r="D161" s="1" t="s">
        <v>795</v>
      </c>
      <c r="E161" s="1" t="s">
        <v>796</v>
      </c>
      <c r="F161" s="1" t="s">
        <v>797</v>
      </c>
      <c r="G161" s="1" t="str">
        <f t="array" ref="G161:G162">IF(ISBLANK(B161:B954), "", XLOOKUP(B161:B954, Sheet1!A161:A320, Sheet1!C161:C320, "Category Not Found", 0))</f>
        <v>#REF!</v>
      </c>
    </row>
    <row r="162">
      <c r="A162" s="1"/>
      <c r="B162" s="1" t="s">
        <v>798</v>
      </c>
      <c r="C162" s="1" t="s">
        <v>799</v>
      </c>
      <c r="D162" s="1" t="s">
        <v>800</v>
      </c>
      <c r="E162" s="1" t="s">
        <v>801</v>
      </c>
      <c r="F162" s="1" t="s">
        <v>802</v>
      </c>
      <c r="G162" s="1" t="str">
        <f t="array" ref="G162:G163">IF(ISBLANK(B162:B955), "", XLOOKUP(B162:B955, Sheet1!A162:A321, Sheet1!C162:C321, "Category Not Found", 0))</f>
        <v>#REF!</v>
      </c>
    </row>
    <row r="163">
      <c r="A163" s="1"/>
      <c r="B163" s="1" t="s">
        <v>803</v>
      </c>
      <c r="C163" s="1" t="s">
        <v>804</v>
      </c>
      <c r="D163" s="1" t="s">
        <v>805</v>
      </c>
      <c r="E163" s="1" t="s">
        <v>806</v>
      </c>
      <c r="F163" s="1" t="s">
        <v>807</v>
      </c>
      <c r="G163" s="1" t="str">
        <f t="array" ref="G163:G164">IF(ISBLANK(B163:B956), "", XLOOKUP(B163:B956, Sheet1!A163:A322, Sheet1!C163:C322, "Category Not Found", 0))</f>
        <v>#REF!</v>
      </c>
    </row>
    <row r="164">
      <c r="A164" s="1"/>
      <c r="B164" s="1" t="s">
        <v>808</v>
      </c>
      <c r="C164" s="1" t="s">
        <v>809</v>
      </c>
      <c r="D164" s="1" t="s">
        <v>810</v>
      </c>
      <c r="E164" s="1" t="s">
        <v>811</v>
      </c>
      <c r="F164" s="1" t="s">
        <v>812</v>
      </c>
      <c r="G164" s="1" t="str">
        <f t="array" ref="G164:G165">IF(ISBLANK(B164:B957), "", XLOOKUP(B164:B957, Sheet1!A164:A323, Sheet1!C164:C323, "Category Not Found", 0))</f>
        <v>#REF!</v>
      </c>
    </row>
    <row r="165">
      <c r="A165" s="1"/>
      <c r="B165" s="1" t="s">
        <v>813</v>
      </c>
      <c r="C165" s="1" t="s">
        <v>814</v>
      </c>
      <c r="D165" s="1" t="s">
        <v>815</v>
      </c>
      <c r="E165" s="1" t="s">
        <v>816</v>
      </c>
      <c r="F165" s="1" t="s">
        <v>817</v>
      </c>
      <c r="G165" s="1" t="str">
        <f t="array" ref="G165:G166">IF(ISBLANK(B165:B958), "", XLOOKUP(B165:B958, Sheet1!A165:A324, Sheet1!C165:C324, "Category Not Found", 0))</f>
        <v>#REF!</v>
      </c>
    </row>
    <row r="166">
      <c r="A166" s="1"/>
      <c r="B166" s="1" t="s">
        <v>818</v>
      </c>
      <c r="C166" s="1" t="s">
        <v>819</v>
      </c>
      <c r="D166" s="1" t="s">
        <v>820</v>
      </c>
      <c r="E166" s="1" t="s">
        <v>821</v>
      </c>
      <c r="F166" s="1" t="s">
        <v>822</v>
      </c>
      <c r="G166" s="1" t="str">
        <f t="array" ref="G166:G167">IF(ISBLANK(B166:B959), "", XLOOKUP(B166:B959, Sheet1!A166:A325, Sheet1!C166:C325, "Category Not Found", 0))</f>
        <v>#REF!</v>
      </c>
    </row>
    <row r="167">
      <c r="A167" s="1"/>
      <c r="B167" s="1" t="s">
        <v>823</v>
      </c>
      <c r="C167" s="1" t="s">
        <v>824</v>
      </c>
      <c r="D167" s="1" t="s">
        <v>825</v>
      </c>
      <c r="E167" s="1" t="s">
        <v>826</v>
      </c>
      <c r="F167" s="1" t="s">
        <v>827</v>
      </c>
      <c r="G167" s="1" t="str">
        <f t="array" ref="G167:G168">IF(ISBLANK(B167:B960), "", XLOOKUP(B167:B960, Sheet1!A167:A326, Sheet1!C167:C326, "Category Not Found", 0))</f>
        <v>#REF!</v>
      </c>
    </row>
    <row r="168">
      <c r="A168" s="1"/>
      <c r="B168" s="1" t="s">
        <v>828</v>
      </c>
      <c r="C168" s="1" t="s">
        <v>829</v>
      </c>
      <c r="D168" s="1" t="s">
        <v>830</v>
      </c>
      <c r="E168" s="1" t="s">
        <v>831</v>
      </c>
      <c r="F168" s="1" t="s">
        <v>832</v>
      </c>
      <c r="G168" s="1" t="str">
        <f t="array" ref="G168:G169">IF(ISBLANK(B168:B961), "", XLOOKUP(B168:B961, Sheet1!A168:A327, Sheet1!C168:C327, "Category Not Found", 0))</f>
        <v>#REF!</v>
      </c>
    </row>
    <row r="169">
      <c r="A169" s="1"/>
      <c r="B169" s="1" t="s">
        <v>833</v>
      </c>
      <c r="C169" s="1" t="s">
        <v>834</v>
      </c>
      <c r="D169" s="1" t="s">
        <v>835</v>
      </c>
      <c r="E169" s="1" t="s">
        <v>836</v>
      </c>
      <c r="F169" s="1" t="s">
        <v>837</v>
      </c>
      <c r="G169" s="1" t="str">
        <f t="array" ref="G169:G170">IF(ISBLANK(B169:B962), "", XLOOKUP(B169:B962, Sheet1!A169:A328, Sheet1!C169:C328, "Category Not Found", 0))</f>
        <v>#REF!</v>
      </c>
    </row>
    <row r="170">
      <c r="A170" s="1"/>
      <c r="B170" s="1" t="s">
        <v>838</v>
      </c>
      <c r="C170" s="1" t="s">
        <v>839</v>
      </c>
      <c r="D170" s="1" t="s">
        <v>840</v>
      </c>
      <c r="E170" s="1" t="s">
        <v>841</v>
      </c>
      <c r="F170" s="1" t="s">
        <v>842</v>
      </c>
      <c r="G170" s="1" t="str">
        <f t="array" ref="G170:G171">IF(ISBLANK(B170:B963), "", XLOOKUP(B170:B963, Sheet1!A170:A329, Sheet1!C170:C329, "Category Not Found", 0))</f>
        <v>#REF!</v>
      </c>
    </row>
    <row r="171">
      <c r="A171" s="1"/>
      <c r="B171" s="1" t="s">
        <v>843</v>
      </c>
      <c r="C171" s="1" t="s">
        <v>844</v>
      </c>
      <c r="D171" s="1" t="s">
        <v>845</v>
      </c>
      <c r="E171" s="1" t="s">
        <v>841</v>
      </c>
      <c r="F171" s="1" t="s">
        <v>846</v>
      </c>
      <c r="G171" s="1" t="str">
        <f t="array" ref="G171:G172">IF(ISBLANK(B171:B964), "", XLOOKUP(B171:B964, Sheet1!A171:A330, Sheet1!C171:C330, "Category Not Found", 0))</f>
        <v>#REF!</v>
      </c>
    </row>
    <row r="172">
      <c r="A172" s="1"/>
      <c r="B172" s="1" t="s">
        <v>847</v>
      </c>
      <c r="C172" s="1" t="s">
        <v>848</v>
      </c>
      <c r="D172" s="1" t="s">
        <v>849</v>
      </c>
      <c r="E172" s="1" t="s">
        <v>850</v>
      </c>
      <c r="F172" s="1" t="s">
        <v>851</v>
      </c>
      <c r="G172" s="1" t="str">
        <f t="array" ref="G172:G173">IF(ISBLANK(B172:B965), "", XLOOKUP(B172:B965, Sheet1!A172:A331, Sheet1!C172:C331, "Category Not Found", 0))</f>
        <v>#REF!</v>
      </c>
    </row>
    <row r="173">
      <c r="A173" s="1"/>
      <c r="B173" s="1" t="s">
        <v>852</v>
      </c>
      <c r="C173" s="1" t="s">
        <v>853</v>
      </c>
      <c r="D173" s="1" t="s">
        <v>854</v>
      </c>
      <c r="E173" s="1" t="s">
        <v>855</v>
      </c>
      <c r="F173" s="1" t="s">
        <v>856</v>
      </c>
      <c r="G173" s="1" t="str">
        <f t="array" ref="G173:G174">IF(ISBLANK(B173:B966), "", XLOOKUP(B173:B966, Sheet1!A173:A332, Sheet1!C173:C332, "Category Not Found", 0))</f>
        <v>#REF!</v>
      </c>
    </row>
    <row r="174">
      <c r="A174" s="1"/>
      <c r="B174" s="1" t="s">
        <v>857</v>
      </c>
      <c r="C174" s="1" t="s">
        <v>858</v>
      </c>
      <c r="D174" s="1" t="s">
        <v>859</v>
      </c>
      <c r="E174" s="1" t="s">
        <v>860</v>
      </c>
      <c r="F174" s="1" t="s">
        <v>861</v>
      </c>
      <c r="G174" s="1" t="str">
        <f t="array" ref="G174:G175">IF(ISBLANK(B174:B967), "", XLOOKUP(B174:B967, Sheet1!A174:A333, Sheet1!C174:C333, "Category Not Found", 0))</f>
        <v>#REF!</v>
      </c>
    </row>
    <row r="175">
      <c r="A175" s="1"/>
      <c r="B175" s="1" t="s">
        <v>862</v>
      </c>
      <c r="C175" s="1" t="s">
        <v>863</v>
      </c>
      <c r="D175" s="1" t="s">
        <v>864</v>
      </c>
      <c r="E175" s="1" t="s">
        <v>865</v>
      </c>
      <c r="F175" s="1" t="s">
        <v>866</v>
      </c>
      <c r="G175" s="1" t="str">
        <f t="array" ref="G175:G176">IF(ISBLANK(B175:B968), "", XLOOKUP(B175:B968, Sheet1!A175:A334, Sheet1!C175:C334, "Category Not Found", 0))</f>
        <v>#REF!</v>
      </c>
    </row>
    <row r="176">
      <c r="A176" s="1"/>
      <c r="B176" s="1" t="s">
        <v>867</v>
      </c>
      <c r="C176" s="1" t="s">
        <v>868</v>
      </c>
      <c r="D176" s="1" t="s">
        <v>869</v>
      </c>
      <c r="E176" s="1" t="s">
        <v>870</v>
      </c>
      <c r="F176" s="1" t="s">
        <v>871</v>
      </c>
      <c r="G176" s="1" t="str">
        <f t="array" ref="G176:G177">IF(ISBLANK(B176:B969), "", XLOOKUP(B176:B969, Sheet1!A176:A335, Sheet1!C176:C335, "Category Not Found", 0))</f>
        <v>#REF!</v>
      </c>
    </row>
    <row r="177">
      <c r="A177" s="1"/>
      <c r="B177" s="1" t="s">
        <v>872</v>
      </c>
      <c r="C177" s="1" t="s">
        <v>873</v>
      </c>
      <c r="D177" s="1" t="s">
        <v>874</v>
      </c>
      <c r="E177" s="1" t="s">
        <v>875</v>
      </c>
      <c r="F177" s="1" t="s">
        <v>876</v>
      </c>
      <c r="G177" s="1" t="str">
        <f t="array" ref="G177:G178">IF(ISBLANK(B177:B970), "", XLOOKUP(B177:B970, Sheet1!A177:A336, Sheet1!C177:C336, "Category Not Found", 0))</f>
        <v>#REF!</v>
      </c>
    </row>
    <row r="178">
      <c r="A178" s="1"/>
      <c r="B178" s="1" t="s">
        <v>877</v>
      </c>
      <c r="C178" s="1" t="s">
        <v>878</v>
      </c>
      <c r="D178" s="1" t="s">
        <v>879</v>
      </c>
      <c r="E178" s="1" t="s">
        <v>880</v>
      </c>
      <c r="F178" s="1" t="s">
        <v>881</v>
      </c>
      <c r="G178" s="1" t="str">
        <f t="array" ref="G178:G179">IF(ISBLANK(B178:B971), "", XLOOKUP(B178:B971, Sheet1!A178:A337, Sheet1!C178:C337, "Category Not Found", 0))</f>
        <v>#REF!</v>
      </c>
    </row>
    <row r="179">
      <c r="A179" s="1"/>
      <c r="B179" s="1" t="s">
        <v>882</v>
      </c>
      <c r="C179" s="1" t="s">
        <v>883</v>
      </c>
      <c r="D179" s="1" t="s">
        <v>884</v>
      </c>
      <c r="E179" s="1" t="s">
        <v>885</v>
      </c>
      <c r="F179" s="1" t="s">
        <v>886</v>
      </c>
      <c r="G179" s="1" t="str">
        <f t="array" ref="G179:G180">IF(ISBLANK(B179:B972), "", XLOOKUP(B179:B972, Sheet1!A179:A338, Sheet1!C179:C338, "Category Not Found", 0))</f>
        <v>#REF!</v>
      </c>
    </row>
    <row r="180">
      <c r="A180" s="1"/>
      <c r="B180" s="1" t="s">
        <v>887</v>
      </c>
      <c r="C180" s="1" t="s">
        <v>888</v>
      </c>
      <c r="D180" s="1" t="s">
        <v>889</v>
      </c>
      <c r="E180" s="1" t="s">
        <v>890</v>
      </c>
      <c r="F180" s="1" t="s">
        <v>891</v>
      </c>
      <c r="G180" s="1" t="str">
        <f t="array" ref="G180:G181">IF(ISBLANK(B180:B973), "", XLOOKUP(B180:B973, Sheet1!A180:A339, Sheet1!C180:C339, "Category Not Found", 0))</f>
        <v>#REF!</v>
      </c>
    </row>
    <row r="181">
      <c r="A181" s="1"/>
      <c r="B181" s="1" t="s">
        <v>892</v>
      </c>
      <c r="C181" s="1" t="s">
        <v>893</v>
      </c>
      <c r="D181" s="1" t="s">
        <v>894</v>
      </c>
      <c r="E181" s="1" t="s">
        <v>895</v>
      </c>
      <c r="F181" s="1" t="s">
        <v>896</v>
      </c>
      <c r="G181" s="1" t="str">
        <f t="array" ref="G181:G182">IF(ISBLANK(B181:B974), "", XLOOKUP(B181:B974, Sheet1!A181:A340, Sheet1!C181:C340, "Category Not Found", 0))</f>
        <v>#REF!</v>
      </c>
    </row>
    <row r="182">
      <c r="A182" s="1"/>
      <c r="B182" s="1" t="s">
        <v>897</v>
      </c>
      <c r="C182" s="1" t="s">
        <v>898</v>
      </c>
      <c r="D182" s="1" t="s">
        <v>899</v>
      </c>
      <c r="E182" s="1" t="s">
        <v>900</v>
      </c>
      <c r="F182" s="1" t="s">
        <v>901</v>
      </c>
      <c r="G182" s="1" t="str">
        <f t="array" ref="G182:G183">IF(ISBLANK(B182:B975), "", XLOOKUP(B182:B975, Sheet1!A182:A341, Sheet1!C182:C341, "Category Not Found", 0))</f>
        <v>#REF!</v>
      </c>
    </row>
    <row r="183">
      <c r="A183" s="1"/>
      <c r="B183" s="1" t="s">
        <v>902</v>
      </c>
      <c r="C183" s="1" t="s">
        <v>903</v>
      </c>
      <c r="D183" s="1" t="s">
        <v>904</v>
      </c>
      <c r="E183" s="1" t="s">
        <v>905</v>
      </c>
      <c r="F183" s="1" t="s">
        <v>906</v>
      </c>
      <c r="G183" s="1" t="str">
        <f t="array" ref="G183:G184">IF(ISBLANK(B183:B976), "", XLOOKUP(B183:B976, Sheet1!A183:A342, Sheet1!C183:C342, "Category Not Found", 0))</f>
        <v>#REF!</v>
      </c>
    </row>
    <row r="184">
      <c r="A184" s="1"/>
      <c r="B184" s="1" t="s">
        <v>907</v>
      </c>
      <c r="C184" s="1" t="s">
        <v>908</v>
      </c>
      <c r="D184" s="1" t="s">
        <v>909</v>
      </c>
      <c r="E184" s="1" t="s">
        <v>910</v>
      </c>
      <c r="F184" s="1" t="s">
        <v>911</v>
      </c>
      <c r="G184" s="1" t="str">
        <f t="array" ref="G184:G185">IF(ISBLANK(B184:B977), "", XLOOKUP(B184:B977, Sheet1!A184:A343, Sheet1!C184:C343, "Category Not Found", 0))</f>
        <v>#REF!</v>
      </c>
    </row>
    <row r="185">
      <c r="A185" s="1"/>
      <c r="B185" s="1" t="s">
        <v>912</v>
      </c>
      <c r="C185" s="1" t="s">
        <v>913</v>
      </c>
      <c r="D185" s="1" t="s">
        <v>914</v>
      </c>
      <c r="E185" s="1" t="s">
        <v>915</v>
      </c>
      <c r="F185" s="1" t="s">
        <v>916</v>
      </c>
      <c r="G185" s="1" t="str">
        <f t="array" ref="G185:G186">IF(ISBLANK(B185:B978), "", XLOOKUP(B185:B978, Sheet1!A185:A344, Sheet1!C185:C344, "Category Not Found", 0))</f>
        <v>#REF!</v>
      </c>
    </row>
    <row r="186">
      <c r="A186" s="1"/>
      <c r="B186" s="1" t="s">
        <v>917</v>
      </c>
      <c r="C186" s="1" t="s">
        <v>918</v>
      </c>
      <c r="D186" s="1" t="s">
        <v>919</v>
      </c>
      <c r="E186" s="1" t="s">
        <v>920</v>
      </c>
      <c r="F186" s="1" t="s">
        <v>921</v>
      </c>
      <c r="G186" s="1" t="str">
        <f t="array" ref="G186:G187">IF(ISBLANK(B186:B979), "", XLOOKUP(B186:B979, Sheet1!A186:A345, Sheet1!C186:C345, "Category Not Found", 0))</f>
        <v>#REF!</v>
      </c>
    </row>
    <row r="187">
      <c r="A187" s="1"/>
      <c r="B187" s="1" t="s">
        <v>922</v>
      </c>
      <c r="C187" s="1" t="s">
        <v>923</v>
      </c>
      <c r="D187" s="1" t="s">
        <v>924</v>
      </c>
      <c r="E187" s="1" t="s">
        <v>925</v>
      </c>
      <c r="F187" s="1" t="s">
        <v>926</v>
      </c>
      <c r="G187" s="1" t="str">
        <f t="array" ref="G187:G188">IF(ISBLANK(B187:B980), "", XLOOKUP(B187:B980, Sheet1!A187:A346, Sheet1!C187:C346, "Category Not Found", 0))</f>
        <v>#REF!</v>
      </c>
    </row>
    <row r="188">
      <c r="A188" s="1"/>
      <c r="B188" s="1" t="s">
        <v>927</v>
      </c>
      <c r="C188" s="1" t="s">
        <v>928</v>
      </c>
      <c r="D188" s="1" t="s">
        <v>929</v>
      </c>
      <c r="E188" s="1" t="s">
        <v>930</v>
      </c>
      <c r="F188" s="1" t="s">
        <v>931</v>
      </c>
      <c r="G188" s="1" t="str">
        <f t="array" ref="G188:G189">IF(ISBLANK(B188:B981), "", XLOOKUP(B188:B981, Sheet1!A188:A347, Sheet1!C188:C347, "Category Not Found", 0))</f>
        <v>#REF!</v>
      </c>
    </row>
    <row r="189">
      <c r="A189" s="1"/>
      <c r="B189" s="1" t="s">
        <v>932</v>
      </c>
      <c r="C189" s="1" t="s">
        <v>933</v>
      </c>
      <c r="D189" s="1" t="s">
        <v>934</v>
      </c>
      <c r="E189" s="1" t="s">
        <v>935</v>
      </c>
      <c r="F189" s="1" t="s">
        <v>936</v>
      </c>
      <c r="G189" s="1" t="str">
        <f t="array" ref="G189:G190">IF(ISBLANK(B189:B982), "", XLOOKUP(B189:B982, Sheet1!A189:A348, Sheet1!C189:C348, "Category Not Found", 0))</f>
        <v>#REF!</v>
      </c>
    </row>
    <row r="190">
      <c r="A190" s="1"/>
      <c r="B190" s="1" t="s">
        <v>937</v>
      </c>
      <c r="C190" s="1" t="s">
        <v>938</v>
      </c>
      <c r="D190" s="1" t="s">
        <v>939</v>
      </c>
      <c r="E190" s="1" t="s">
        <v>940</v>
      </c>
      <c r="F190" s="1" t="s">
        <v>941</v>
      </c>
      <c r="G190" s="1" t="str">
        <f t="array" ref="G190:G191">IF(ISBLANK(B190:B983), "", XLOOKUP(B190:B983, Sheet1!A190:A349, Sheet1!C190:C349, "Category Not Found", 0))</f>
        <v>#REF!</v>
      </c>
    </row>
    <row r="191">
      <c r="A191" s="1"/>
      <c r="B191" s="1" t="s">
        <v>942</v>
      </c>
      <c r="C191" s="1" t="s">
        <v>943</v>
      </c>
      <c r="D191" s="1" t="s">
        <v>944</v>
      </c>
      <c r="E191" s="1" t="s">
        <v>945</v>
      </c>
      <c r="F191" s="1" t="s">
        <v>946</v>
      </c>
      <c r="G191" s="1" t="str">
        <f t="array" ref="G191:G192">IF(ISBLANK(B191:B984), "", XLOOKUP(B191:B984, Sheet1!A191:A350, Sheet1!C191:C350, "Category Not Found", 0))</f>
        <v>#REF!</v>
      </c>
    </row>
    <row r="192">
      <c r="A192" s="1"/>
      <c r="B192" s="1" t="s">
        <v>947</v>
      </c>
      <c r="C192" s="1" t="s">
        <v>948</v>
      </c>
      <c r="D192" s="1" t="s">
        <v>949</v>
      </c>
      <c r="E192" s="1" t="s">
        <v>950</v>
      </c>
      <c r="F192" s="1" t="s">
        <v>951</v>
      </c>
      <c r="G192" s="1" t="str">
        <f t="array" ref="G192:G193">IF(ISBLANK(B192:B985), "", XLOOKUP(B192:B985, Sheet1!A192:A351, Sheet1!C192:C351, "Category Not Found", 0))</f>
        <v>#REF!</v>
      </c>
    </row>
    <row r="193">
      <c r="A193" s="1"/>
      <c r="B193" s="1" t="s">
        <v>952</v>
      </c>
      <c r="C193" s="1" t="s">
        <v>953</v>
      </c>
      <c r="D193" s="1" t="s">
        <v>954</v>
      </c>
      <c r="E193" s="1" t="s">
        <v>955</v>
      </c>
      <c r="F193" s="1" t="s">
        <v>956</v>
      </c>
      <c r="G193" s="1" t="str">
        <f t="array" ref="G193:G194">IF(ISBLANK(B193:B986), "", XLOOKUP(B193:B986, Sheet1!A193:A352, Sheet1!C193:C352, "Category Not Found", 0))</f>
        <v>#REF!</v>
      </c>
    </row>
    <row r="194">
      <c r="A194" s="1"/>
      <c r="B194" s="1" t="s">
        <v>957</v>
      </c>
      <c r="C194" s="1" t="s">
        <v>958</v>
      </c>
      <c r="D194" s="1" t="s">
        <v>959</v>
      </c>
      <c r="E194" s="1" t="s">
        <v>960</v>
      </c>
      <c r="F194" s="1" t="s">
        <v>961</v>
      </c>
      <c r="G194" s="1" t="str">
        <f t="array" ref="G194:G195">IF(ISBLANK(B194:B987), "", XLOOKUP(B194:B987, Sheet1!A194:A353, Sheet1!C194:C353, "Category Not Found", 0))</f>
        <v>#REF!</v>
      </c>
    </row>
    <row r="195">
      <c r="A195" s="1"/>
      <c r="B195" s="1" t="s">
        <v>962</v>
      </c>
      <c r="C195" s="1" t="s">
        <v>963</v>
      </c>
      <c r="D195" s="1" t="s">
        <v>964</v>
      </c>
      <c r="E195" s="1" t="s">
        <v>965</v>
      </c>
      <c r="F195" s="1" t="s">
        <v>966</v>
      </c>
      <c r="G195" s="1" t="str">
        <f t="array" ref="G195:G196">IF(ISBLANK(B195:B988), "", XLOOKUP(B195:B988, Sheet1!A195:A354, Sheet1!C195:C354, "Category Not Found", 0))</f>
        <v>#REF!</v>
      </c>
    </row>
    <row r="196">
      <c r="A196" s="1"/>
      <c r="B196" s="1" t="s">
        <v>967</v>
      </c>
      <c r="C196" s="1" t="s">
        <v>968</v>
      </c>
      <c r="D196" s="1" t="s">
        <v>969</v>
      </c>
      <c r="E196" s="1" t="s">
        <v>970</v>
      </c>
      <c r="F196" s="1" t="s">
        <v>971</v>
      </c>
      <c r="G196" s="1" t="str">
        <f t="array" ref="G196:G197">IF(ISBLANK(B196:B989), "", XLOOKUP(B196:B989, Sheet1!A196:A355, Sheet1!C196:C355, "Category Not Found", 0))</f>
        <v>#REF!</v>
      </c>
    </row>
    <row r="197">
      <c r="A197" s="1"/>
      <c r="B197" s="1" t="s">
        <v>972</v>
      </c>
      <c r="C197" s="1" t="s">
        <v>973</v>
      </c>
      <c r="D197" s="1" t="s">
        <v>974</v>
      </c>
      <c r="E197" s="1" t="s">
        <v>975</v>
      </c>
      <c r="F197" s="1" t="s">
        <v>976</v>
      </c>
      <c r="G197" s="1" t="str">
        <f t="array" ref="G197:G198">IF(ISBLANK(B197:B990), "", XLOOKUP(B197:B990, Sheet1!A197:A356, Sheet1!C197:C356, "Category Not Found", 0))</f>
        <v>#REF!</v>
      </c>
    </row>
    <row r="198">
      <c r="A198" s="1"/>
      <c r="B198" s="1" t="s">
        <v>977</v>
      </c>
      <c r="C198" s="1" t="s">
        <v>978</v>
      </c>
      <c r="D198" s="1" t="s">
        <v>979</v>
      </c>
      <c r="E198" s="1" t="s">
        <v>980</v>
      </c>
      <c r="F198" s="1" t="s">
        <v>981</v>
      </c>
      <c r="G198" s="1" t="str">
        <f t="array" ref="G198:G199">IF(ISBLANK(B198:B991), "", XLOOKUP(B198:B991, Sheet1!A198:A357, Sheet1!C198:C357, "Category Not Found", 0))</f>
        <v>#REF!</v>
      </c>
    </row>
    <row r="199">
      <c r="A199" s="1"/>
      <c r="B199" s="1" t="s">
        <v>982</v>
      </c>
      <c r="C199" s="1" t="s">
        <v>983</v>
      </c>
      <c r="D199" s="1" t="s">
        <v>984</v>
      </c>
      <c r="E199" s="1" t="s">
        <v>985</v>
      </c>
      <c r="F199" s="1" t="s">
        <v>986</v>
      </c>
      <c r="G199" s="1" t="str">
        <f t="array" ref="G199:G200">IF(ISBLANK(B199:B992), "", XLOOKUP(B199:B992, Sheet1!A199:A358, Sheet1!C199:C358, "Category Not Found", 0))</f>
        <v>#REF!</v>
      </c>
    </row>
    <row r="200">
      <c r="A200" s="1"/>
      <c r="B200" s="1" t="s">
        <v>987</v>
      </c>
      <c r="C200" s="1" t="s">
        <v>988</v>
      </c>
      <c r="D200" s="1" t="s">
        <v>989</v>
      </c>
      <c r="E200" s="1" t="s">
        <v>990</v>
      </c>
      <c r="F200" s="1" t="s">
        <v>991</v>
      </c>
      <c r="G200" s="1" t="str">
        <f t="array" ref="G200:G201">IF(ISBLANK(B200:B993), "", XLOOKUP(B200:B993, Sheet1!A200:A359, Sheet1!C200:C359, "Category Not Found", 0))</f>
        <v>#REF!</v>
      </c>
    </row>
    <row r="201">
      <c r="A201" s="1"/>
      <c r="B201" s="1" t="s">
        <v>992</v>
      </c>
      <c r="C201" s="1" t="s">
        <v>993</v>
      </c>
      <c r="D201" s="1" t="s">
        <v>994</v>
      </c>
      <c r="E201" s="1" t="s">
        <v>995</v>
      </c>
      <c r="F201" s="1" t="s">
        <v>996</v>
      </c>
      <c r="G201" s="1" t="str">
        <f t="array" ref="G201:G202">IF(ISBLANK(B201:B994), "", XLOOKUP(B201:B994, Sheet1!A201:A360, Sheet1!C201:C360, "Category Not Found", 0))</f>
        <v>#REF!</v>
      </c>
    </row>
    <row r="202">
      <c r="A202" s="1"/>
      <c r="B202" s="1" t="s">
        <v>997</v>
      </c>
      <c r="C202" s="1" t="s">
        <v>998</v>
      </c>
      <c r="D202" s="1" t="s">
        <v>999</v>
      </c>
      <c r="E202" s="1" t="s">
        <v>1000</v>
      </c>
      <c r="F202" s="1" t="s">
        <v>1001</v>
      </c>
      <c r="G202" s="1" t="str">
        <f t="array" ref="G202:G203">IF(ISBLANK(B202:B995), "", XLOOKUP(B202:B995, Sheet1!A202:A361, Sheet1!C202:C361, "Category Not Found", 0))</f>
        <v>#REF!</v>
      </c>
    </row>
    <row r="203">
      <c r="A203" s="1"/>
      <c r="B203" s="1" t="s">
        <v>1002</v>
      </c>
      <c r="C203" s="1" t="s">
        <v>1003</v>
      </c>
      <c r="D203" s="1" t="s">
        <v>1004</v>
      </c>
      <c r="E203" s="1" t="s">
        <v>1005</v>
      </c>
      <c r="F203" s="1" t="s">
        <v>1006</v>
      </c>
      <c r="G203" s="1" t="str">
        <f t="array" ref="G203:G204">IF(ISBLANK(B203:B996), "", XLOOKUP(B203:B996, Sheet1!A203:A362, Sheet1!C203:C362, "Category Not Found", 0))</f>
        <v>#REF!</v>
      </c>
    </row>
    <row r="204">
      <c r="A204" s="1"/>
      <c r="B204" s="1" t="s">
        <v>1007</v>
      </c>
      <c r="C204" s="1" t="s">
        <v>1008</v>
      </c>
      <c r="D204" s="1" t="s">
        <v>1009</v>
      </c>
      <c r="E204" s="1" t="s">
        <v>1010</v>
      </c>
      <c r="F204" s="1" t="s">
        <v>1011</v>
      </c>
      <c r="G204" s="1" t="str">
        <f t="array" ref="G204:G205">IF(ISBLANK(B204:B997), "", XLOOKUP(B204:B997, Sheet1!A204:A363, Sheet1!C204:C363, "Category Not Found", 0))</f>
        <v>#REF!</v>
      </c>
    </row>
    <row r="205">
      <c r="A205" s="1"/>
      <c r="B205" s="1" t="s">
        <v>1012</v>
      </c>
      <c r="C205" s="1" t="s">
        <v>1013</v>
      </c>
      <c r="D205" s="1" t="s">
        <v>1014</v>
      </c>
      <c r="E205" s="1" t="s">
        <v>1015</v>
      </c>
      <c r="F205" s="1" t="s">
        <v>1016</v>
      </c>
      <c r="G205" s="1" t="str">
        <f t="array" ref="G205:G206">IF(ISBLANK(B205:B998), "", XLOOKUP(B205:B998, Sheet1!A205:A364, Sheet1!C205:C364, "Category Not Found", 0))</f>
        <v>#REF!</v>
      </c>
    </row>
    <row r="206">
      <c r="A206" s="1"/>
      <c r="B206" s="1" t="s">
        <v>1017</v>
      </c>
      <c r="C206" s="1" t="s">
        <v>1018</v>
      </c>
      <c r="D206" s="1" t="s">
        <v>1019</v>
      </c>
      <c r="E206" s="1" t="s">
        <v>1020</v>
      </c>
      <c r="F206" s="1" t="s">
        <v>1021</v>
      </c>
      <c r="G206" s="1" t="str">
        <f t="array" ref="G206:G207">IF(ISBLANK(B206:B999), "", XLOOKUP(B206:B999, Sheet1!A206:A365, Sheet1!C206:C365, "Category Not Found", 0))</f>
        <v>#REF!</v>
      </c>
    </row>
    <row r="207">
      <c r="A207" s="1"/>
      <c r="B207" s="1" t="s">
        <v>1022</v>
      </c>
      <c r="C207" s="1" t="s">
        <v>1023</v>
      </c>
      <c r="D207" s="1" t="s">
        <v>1024</v>
      </c>
      <c r="E207" s="1" t="s">
        <v>1025</v>
      </c>
      <c r="F207" s="1" t="s">
        <v>1026</v>
      </c>
      <c r="G207" s="1" t="str">
        <f t="array" ref="G207:G208">IF(ISBLANK(B207:B1000), "", XLOOKUP(B207:B1000, Sheet1!A207:A366, Sheet1!C207:C366, "Category Not Found", 0))</f>
        <v>#REF!</v>
      </c>
    </row>
    <row r="208">
      <c r="A208" s="1"/>
      <c r="B208" s="1" t="s">
        <v>1027</v>
      </c>
      <c r="C208" s="1" t="s">
        <v>1028</v>
      </c>
      <c r="D208" s="1" t="s">
        <v>1029</v>
      </c>
      <c r="E208" s="1" t="s">
        <v>1030</v>
      </c>
      <c r="F208" s="1" t="s">
        <v>1031</v>
      </c>
      <c r="G208" s="1" t="str">
        <f t="array" ref="G208:G209">IF(ISBLANK(B208:B1001), "", XLOOKUP(B208:B1001, Sheet1!A208:A367, Sheet1!C208:C367, "Category Not Found", 0))</f>
        <v>#REF!</v>
      </c>
    </row>
    <row r="209">
      <c r="A209" s="1"/>
      <c r="B209" s="1" t="s">
        <v>1032</v>
      </c>
      <c r="C209" s="1" t="s">
        <v>1033</v>
      </c>
      <c r="D209" s="1" t="s">
        <v>1034</v>
      </c>
      <c r="E209" s="1" t="s">
        <v>1035</v>
      </c>
      <c r="F209" s="1" t="s">
        <v>1036</v>
      </c>
      <c r="G209" s="1" t="str">
        <f t="array" ref="G209:G210">IF(ISBLANK(B209:B1002), "", XLOOKUP(B209:B1002, Sheet1!A209:A368, Sheet1!C209:C368, "Category Not Found", 0))</f>
        <v>#REF!</v>
      </c>
    </row>
    <row r="210">
      <c r="A210" s="1"/>
      <c r="B210" s="1" t="s">
        <v>1037</v>
      </c>
      <c r="C210" s="1" t="s">
        <v>1038</v>
      </c>
      <c r="D210" s="1" t="s">
        <v>1039</v>
      </c>
      <c r="E210" s="1" t="s">
        <v>1040</v>
      </c>
      <c r="F210" s="1" t="s">
        <v>1041</v>
      </c>
      <c r="G210" s="1" t="str">
        <f t="array" ref="G210:G211">IF(ISBLANK(B210:B1003), "", XLOOKUP(B210:B1003, Sheet1!A210:A369, Sheet1!C210:C369, "Category Not Found", 0))</f>
        <v>#REF!</v>
      </c>
    </row>
    <row r="211">
      <c r="A211" s="1"/>
      <c r="B211" s="1" t="s">
        <v>1042</v>
      </c>
      <c r="C211" s="1" t="s">
        <v>1043</v>
      </c>
      <c r="D211" s="1" t="s">
        <v>1044</v>
      </c>
      <c r="E211" s="1" t="s">
        <v>1045</v>
      </c>
      <c r="F211" s="1" t="s">
        <v>1046</v>
      </c>
      <c r="G211" s="1" t="str">
        <f t="array" ref="G211:G212">IF(ISBLANK(B211:B1004), "", XLOOKUP(B211:B1004, Sheet1!A211:A370, Sheet1!C211:C370, "Category Not Found", 0))</f>
        <v>#REF!</v>
      </c>
    </row>
    <row r="212">
      <c r="A212" s="1"/>
      <c r="B212" s="1" t="s">
        <v>1047</v>
      </c>
      <c r="C212" s="1" t="s">
        <v>1048</v>
      </c>
      <c r="D212" s="1" t="s">
        <v>1049</v>
      </c>
      <c r="E212" s="1" t="s">
        <v>1050</v>
      </c>
      <c r="F212" s="1" t="s">
        <v>1051</v>
      </c>
      <c r="G212" s="1" t="str">
        <f t="array" ref="G212:G213">IF(ISBLANK(B212:B1005), "", XLOOKUP(B212:B1005, Sheet1!A212:A371, Sheet1!C212:C371, "Category Not Found", 0))</f>
        <v>#REF!</v>
      </c>
    </row>
    <row r="213">
      <c r="A213" s="1"/>
      <c r="B213" s="1" t="s">
        <v>1052</v>
      </c>
      <c r="C213" s="1" t="s">
        <v>1053</v>
      </c>
      <c r="D213" s="1" t="s">
        <v>1054</v>
      </c>
      <c r="E213" s="1" t="s">
        <v>1055</v>
      </c>
      <c r="F213" s="1" t="s">
        <v>1056</v>
      </c>
      <c r="G213" s="1" t="str">
        <f t="array" ref="G213:G214">IF(ISBLANK(B213:B1006), "", XLOOKUP(B213:B1006, Sheet1!A213:A372, Sheet1!C213:C372, "Category Not Found", 0))</f>
        <v>#REF!</v>
      </c>
    </row>
    <row r="214">
      <c r="A214" s="1"/>
      <c r="B214" s="1" t="s">
        <v>1057</v>
      </c>
      <c r="C214" s="1" t="s">
        <v>1058</v>
      </c>
      <c r="D214" s="1" t="s">
        <v>1059</v>
      </c>
      <c r="E214" s="1" t="s">
        <v>1060</v>
      </c>
      <c r="F214" s="1" t="s">
        <v>1061</v>
      </c>
      <c r="G214" s="1" t="str">
        <f t="array" ref="G214:G215">IF(ISBLANK(B214:B1007), "", XLOOKUP(B214:B1007, Sheet1!A214:A373, Sheet1!C214:C373, "Category Not Found", 0))</f>
        <v>#REF!</v>
      </c>
    </row>
    <row r="215">
      <c r="A215" s="1"/>
      <c r="B215" s="1" t="s">
        <v>1062</v>
      </c>
      <c r="C215" s="1" t="s">
        <v>1063</v>
      </c>
      <c r="D215" s="1" t="s">
        <v>1064</v>
      </c>
      <c r="E215" s="1" t="s">
        <v>1065</v>
      </c>
      <c r="F215" s="1" t="s">
        <v>1066</v>
      </c>
      <c r="G215" s="1" t="str">
        <f t="array" ref="G215:G216">IF(ISBLANK(B215:B1008), "", XLOOKUP(B215:B1008, Sheet1!A215:A374, Sheet1!C215:C374, "Category Not Found", 0))</f>
        <v>#REF!</v>
      </c>
    </row>
    <row r="216">
      <c r="A216" s="1"/>
      <c r="B216" s="1" t="s">
        <v>1067</v>
      </c>
      <c r="C216" s="1" t="s">
        <v>1068</v>
      </c>
      <c r="D216" s="1" t="s">
        <v>1069</v>
      </c>
      <c r="E216" s="1" t="s">
        <v>1070</v>
      </c>
      <c r="F216" s="1" t="s">
        <v>1071</v>
      </c>
      <c r="G216" s="1" t="str">
        <f t="array" ref="G216:G217">IF(ISBLANK(B216:B1009), "", XLOOKUP(B216:B1009, Sheet1!A216:A375, Sheet1!C216:C375, "Category Not Found", 0))</f>
        <v>#REF!</v>
      </c>
    </row>
    <row r="217">
      <c r="A217" s="1"/>
      <c r="B217" s="1" t="s">
        <v>1072</v>
      </c>
      <c r="C217" s="1" t="s">
        <v>1073</v>
      </c>
      <c r="D217" s="1" t="s">
        <v>1074</v>
      </c>
      <c r="E217" s="1" t="s">
        <v>1075</v>
      </c>
      <c r="F217" s="1" t="s">
        <v>1076</v>
      </c>
      <c r="G217" s="1" t="str">
        <f t="array" ref="G217:G218">IF(ISBLANK(B217:B1010), "", XLOOKUP(B217:B1010, Sheet1!A217:A376, Sheet1!C217:C376, "Category Not Found", 0))</f>
        <v>#REF!</v>
      </c>
    </row>
    <row r="218">
      <c r="A218" s="1"/>
      <c r="B218" s="1" t="s">
        <v>1077</v>
      </c>
      <c r="C218" s="1" t="s">
        <v>1078</v>
      </c>
      <c r="D218" s="1" t="s">
        <v>1079</v>
      </c>
      <c r="E218" s="1" t="s">
        <v>1080</v>
      </c>
      <c r="F218" s="1" t="s">
        <v>1081</v>
      </c>
      <c r="G218" s="1" t="str">
        <f t="array" ref="G218:G219">IF(ISBLANK(B218:B1011), "", XLOOKUP(B218:B1011, Sheet1!A218:A377, Sheet1!C218:C377, "Category Not Found", 0))</f>
        <v>#REF!</v>
      </c>
    </row>
    <row r="219">
      <c r="A219" s="1"/>
      <c r="B219" s="1" t="s">
        <v>1082</v>
      </c>
      <c r="C219" s="1" t="s">
        <v>1083</v>
      </c>
      <c r="D219" s="1" t="s">
        <v>1084</v>
      </c>
      <c r="E219" s="1" t="s">
        <v>1085</v>
      </c>
      <c r="F219" s="1" t="s">
        <v>1086</v>
      </c>
      <c r="G219" s="1" t="str">
        <f t="array" ref="G219:G220">IF(ISBLANK(B219:B1012), "", XLOOKUP(B219:B1012, Sheet1!A219:A378, Sheet1!C219:C378, "Category Not Found", 0))</f>
        <v>#REF!</v>
      </c>
    </row>
    <row r="220">
      <c r="A220" s="1"/>
      <c r="B220" s="1" t="s">
        <v>1087</v>
      </c>
      <c r="C220" s="1" t="s">
        <v>1088</v>
      </c>
      <c r="D220" s="1" t="s">
        <v>1089</v>
      </c>
      <c r="E220" s="1" t="s">
        <v>1090</v>
      </c>
      <c r="F220" s="1" t="s">
        <v>1091</v>
      </c>
      <c r="G220" s="1" t="str">
        <f t="array" ref="G220:G221">IF(ISBLANK(B220:B1013), "", XLOOKUP(B220:B1013, Sheet1!A220:A379, Sheet1!C220:C379, "Category Not Found", 0))</f>
        <v>#REF!</v>
      </c>
    </row>
    <row r="221">
      <c r="A221" s="1"/>
      <c r="B221" s="1" t="s">
        <v>1092</v>
      </c>
      <c r="C221" s="1" t="s">
        <v>1093</v>
      </c>
      <c r="D221" s="1" t="s">
        <v>1094</v>
      </c>
      <c r="E221" s="1" t="s">
        <v>1095</v>
      </c>
      <c r="F221" s="1" t="s">
        <v>1096</v>
      </c>
      <c r="G221" s="1" t="str">
        <f t="array" ref="G221:G222">IF(ISBLANK(B221:B1014), "", XLOOKUP(B221:B1014, Sheet1!A221:A380, Sheet1!C221:C380, "Category Not Found", 0))</f>
        <v>#REF!</v>
      </c>
    </row>
    <row r="222">
      <c r="A222" s="1"/>
      <c r="B222" s="1" t="s">
        <v>1097</v>
      </c>
      <c r="C222" s="1" t="s">
        <v>1098</v>
      </c>
      <c r="D222" s="1" t="s">
        <v>1099</v>
      </c>
      <c r="E222" s="1" t="s">
        <v>1100</v>
      </c>
      <c r="F222" s="1" t="s">
        <v>1101</v>
      </c>
      <c r="G222" s="1" t="str">
        <f t="array" ref="G222:G223">IF(ISBLANK(B222:B1015), "", XLOOKUP(B222:B1015, Sheet1!A222:A381, Sheet1!C222:C381, "Category Not Found", 0))</f>
        <v>#REF!</v>
      </c>
    </row>
    <row r="223">
      <c r="A223" s="1"/>
      <c r="B223" s="1" t="s">
        <v>1102</v>
      </c>
      <c r="C223" s="1" t="s">
        <v>1103</v>
      </c>
      <c r="D223" s="1" t="s">
        <v>1104</v>
      </c>
      <c r="E223" s="1" t="s">
        <v>1105</v>
      </c>
      <c r="F223" s="1" t="s">
        <v>1106</v>
      </c>
      <c r="G223" s="1" t="str">
        <f t="array" ref="G223:G224">IF(ISBLANK(B223:B1016), "", XLOOKUP(B223:B1016, Sheet1!A223:A382, Sheet1!C223:C382, "Category Not Found", 0))</f>
        <v>#REF!</v>
      </c>
    </row>
    <row r="224">
      <c r="A224" s="1"/>
      <c r="B224" s="1" t="s">
        <v>1107</v>
      </c>
      <c r="C224" s="1" t="s">
        <v>1108</v>
      </c>
      <c r="D224" s="1" t="s">
        <v>1109</v>
      </c>
      <c r="E224" s="1" t="s">
        <v>1110</v>
      </c>
      <c r="F224" s="1" t="s">
        <v>1111</v>
      </c>
      <c r="G224" s="1" t="str">
        <f t="array" ref="G224:G225">IF(ISBLANK(B224:B1017), "", XLOOKUP(B224:B1017, Sheet1!A224:A383, Sheet1!C224:C383, "Category Not Found", 0))</f>
        <v>#REF!</v>
      </c>
    </row>
    <row r="225">
      <c r="A225" s="1"/>
      <c r="B225" s="1" t="s">
        <v>1112</v>
      </c>
      <c r="C225" s="1" t="s">
        <v>1113</v>
      </c>
      <c r="D225" s="1" t="s">
        <v>1114</v>
      </c>
      <c r="E225" s="1" t="s">
        <v>1115</v>
      </c>
      <c r="F225" s="1" t="s">
        <v>1116</v>
      </c>
      <c r="G225" s="1" t="str">
        <f t="array" ref="G225:G226">IF(ISBLANK(B225:B1018), "", XLOOKUP(B225:B1018, Sheet1!A225:A384, Sheet1!C225:C384, "Category Not Found", 0))</f>
        <v>#REF!</v>
      </c>
    </row>
    <row r="226">
      <c r="A226" s="1"/>
      <c r="B226" s="1" t="s">
        <v>1117</v>
      </c>
      <c r="C226" s="1" t="s">
        <v>1118</v>
      </c>
      <c r="D226" s="1" t="s">
        <v>1119</v>
      </c>
      <c r="E226" s="1" t="s">
        <v>1120</v>
      </c>
      <c r="F226" s="1" t="s">
        <v>1121</v>
      </c>
      <c r="G226" s="1" t="str">
        <f t="array" ref="G226:G227">IF(ISBLANK(B226:B1019), "", XLOOKUP(B226:B1019, Sheet1!A226:A385, Sheet1!C226:C385, "Category Not Found", 0))</f>
        <v>#REF!</v>
      </c>
    </row>
    <row r="227">
      <c r="A227" s="1"/>
      <c r="B227" s="1" t="s">
        <v>1122</v>
      </c>
      <c r="C227" s="1" t="s">
        <v>1123</v>
      </c>
      <c r="D227" s="1" t="s">
        <v>1124</v>
      </c>
      <c r="E227" s="1" t="s">
        <v>1125</v>
      </c>
      <c r="F227" s="1" t="s">
        <v>1126</v>
      </c>
      <c r="G227" s="1" t="str">
        <f t="array" ref="G227:G228">IF(ISBLANK(B227:B1020), "", XLOOKUP(B227:B1020, Sheet1!A227:A386, Sheet1!C227:C386, "Category Not Found", 0))</f>
        <v>#REF!</v>
      </c>
    </row>
    <row r="228">
      <c r="A228" s="1"/>
      <c r="B228" s="1" t="s">
        <v>1127</v>
      </c>
      <c r="C228" s="1" t="s">
        <v>1128</v>
      </c>
      <c r="D228" s="1" t="s">
        <v>1129</v>
      </c>
      <c r="E228" s="1" t="s">
        <v>1130</v>
      </c>
      <c r="F228" s="1" t="s">
        <v>1131</v>
      </c>
      <c r="G228" s="1" t="str">
        <f t="array" ref="G228:G229">IF(ISBLANK(B228:B1021), "", XLOOKUP(B228:B1021, Sheet1!A228:A387, Sheet1!C228:C387, "Category Not Found", 0))</f>
        <v>#REF!</v>
      </c>
    </row>
    <row r="229">
      <c r="A229" s="1"/>
      <c r="B229" s="1" t="s">
        <v>1132</v>
      </c>
      <c r="C229" s="1" t="s">
        <v>1133</v>
      </c>
      <c r="D229" s="1" t="s">
        <v>1134</v>
      </c>
      <c r="E229" s="1" t="s">
        <v>1135</v>
      </c>
      <c r="F229" s="1" t="s">
        <v>1136</v>
      </c>
      <c r="G229" s="1" t="str">
        <f t="array" ref="G229:G230">IF(ISBLANK(B229:B1022), "", XLOOKUP(B229:B1022, Sheet1!A229:A388, Sheet1!C229:C388, "Category Not Found", 0))</f>
        <v>#REF!</v>
      </c>
    </row>
    <row r="230">
      <c r="A230" s="1"/>
      <c r="B230" s="1" t="s">
        <v>1137</v>
      </c>
      <c r="C230" s="1" t="s">
        <v>1138</v>
      </c>
      <c r="D230" s="1" t="s">
        <v>1139</v>
      </c>
      <c r="E230" s="1" t="s">
        <v>1140</v>
      </c>
      <c r="F230" s="1" t="s">
        <v>1141</v>
      </c>
      <c r="G230" s="1" t="str">
        <f t="array" ref="G230:G231">IF(ISBLANK(B230:B1023), "", XLOOKUP(B230:B1023, Sheet1!A230:A389, Sheet1!C230:C389, "Category Not Found", 0))</f>
        <v>#REF!</v>
      </c>
    </row>
    <row r="231">
      <c r="A231" s="1"/>
      <c r="B231" s="1" t="s">
        <v>1142</v>
      </c>
      <c r="C231" s="1" t="s">
        <v>1143</v>
      </c>
      <c r="D231" s="1" t="s">
        <v>1144</v>
      </c>
      <c r="E231" s="1" t="s">
        <v>1145</v>
      </c>
      <c r="F231" s="1" t="s">
        <v>1146</v>
      </c>
      <c r="G231" s="1" t="str">
        <f t="array" ref="G231:G232">IF(ISBLANK(B231:B1024), "", XLOOKUP(B231:B1024, Sheet1!A231:A390, Sheet1!C231:C390, "Category Not Found", 0))</f>
        <v>#REF!</v>
      </c>
    </row>
    <row r="232">
      <c r="A232" s="1"/>
      <c r="B232" s="1" t="s">
        <v>1147</v>
      </c>
      <c r="C232" s="1" t="s">
        <v>1148</v>
      </c>
      <c r="D232" s="1" t="s">
        <v>1149</v>
      </c>
      <c r="E232" s="1" t="s">
        <v>1150</v>
      </c>
      <c r="F232" s="1" t="s">
        <v>1151</v>
      </c>
      <c r="G232" s="1" t="str">
        <f t="array" ref="G232:G233">IF(ISBLANK(B232:B1025), "", XLOOKUP(B232:B1025, Sheet1!A232:A391, Sheet1!C232:C391, "Category Not Found", 0))</f>
        <v>#REF!</v>
      </c>
    </row>
    <row r="233">
      <c r="A233" s="1"/>
      <c r="B233" s="1" t="s">
        <v>1152</v>
      </c>
      <c r="C233" s="1" t="s">
        <v>1153</v>
      </c>
      <c r="D233" s="1" t="s">
        <v>1154</v>
      </c>
      <c r="E233" s="1" t="s">
        <v>1155</v>
      </c>
      <c r="F233" s="1" t="s">
        <v>1156</v>
      </c>
      <c r="G233" s="1" t="str">
        <f t="array" ref="G233:G234">IF(ISBLANK(B233:B1026), "", XLOOKUP(B233:B1026, Sheet1!A233:A392, Sheet1!C233:C392, "Category Not Found", 0))</f>
        <v>#REF!</v>
      </c>
    </row>
    <row r="234">
      <c r="A234" s="1"/>
      <c r="B234" s="1" t="s">
        <v>1157</v>
      </c>
      <c r="C234" s="1" t="s">
        <v>1158</v>
      </c>
      <c r="D234" s="1" t="s">
        <v>1159</v>
      </c>
      <c r="E234" s="1" t="s">
        <v>1160</v>
      </c>
      <c r="F234" s="1" t="s">
        <v>1161</v>
      </c>
      <c r="G234" s="1" t="str">
        <f t="array" ref="G234:G235">IF(ISBLANK(B234:B1027), "", XLOOKUP(B234:B1027, Sheet1!A234:A393, Sheet1!C234:C393, "Category Not Found", 0))</f>
        <v>#REF!</v>
      </c>
    </row>
    <row r="235">
      <c r="A235" s="1"/>
      <c r="B235" s="1" t="s">
        <v>1162</v>
      </c>
      <c r="C235" s="1" t="s">
        <v>1163</v>
      </c>
      <c r="D235" s="1" t="s">
        <v>1164</v>
      </c>
      <c r="E235" s="1" t="s">
        <v>1165</v>
      </c>
      <c r="F235" s="1" t="s">
        <v>1166</v>
      </c>
      <c r="G235" s="1" t="str">
        <f t="array" ref="G235:G236">IF(ISBLANK(B235:B1028), "", XLOOKUP(B235:B1028, Sheet1!A235:A394, Sheet1!C235:C394, "Category Not Found", 0))</f>
        <v>#REF!</v>
      </c>
    </row>
    <row r="236">
      <c r="A236" s="1"/>
      <c r="B236" s="1" t="s">
        <v>1167</v>
      </c>
      <c r="C236" s="1" t="s">
        <v>1168</v>
      </c>
      <c r="D236" s="1" t="s">
        <v>1169</v>
      </c>
      <c r="E236" s="1" t="s">
        <v>1170</v>
      </c>
      <c r="F236" s="1" t="s">
        <v>1171</v>
      </c>
      <c r="G236" s="1" t="str">
        <f t="array" ref="G236:G237">IF(ISBLANK(B236:B1029), "", XLOOKUP(B236:B1029, Sheet1!A236:A395, Sheet1!C236:C395, "Category Not Found", 0))</f>
        <v>#REF!</v>
      </c>
    </row>
    <row r="237">
      <c r="A237" s="1"/>
      <c r="B237" s="1" t="s">
        <v>1172</v>
      </c>
      <c r="C237" s="1" t="s">
        <v>1173</v>
      </c>
      <c r="D237" s="1" t="s">
        <v>1174</v>
      </c>
      <c r="E237" s="1" t="s">
        <v>1175</v>
      </c>
      <c r="F237" s="1" t="s">
        <v>1176</v>
      </c>
      <c r="G237" s="1" t="str">
        <f t="array" ref="G237:G238">IF(ISBLANK(B237:B1030), "", XLOOKUP(B237:B1030, Sheet1!A237:A396, Sheet1!C237:C396, "Category Not Found", 0))</f>
        <v>#REF!</v>
      </c>
    </row>
    <row r="238">
      <c r="A238" s="1"/>
      <c r="B238" s="1" t="s">
        <v>1177</v>
      </c>
      <c r="C238" s="1" t="s">
        <v>1178</v>
      </c>
      <c r="D238" s="1" t="s">
        <v>1179</v>
      </c>
      <c r="E238" s="1" t="s">
        <v>1180</v>
      </c>
      <c r="F238" s="1" t="s">
        <v>1181</v>
      </c>
      <c r="G238" s="1" t="str">
        <f t="array" ref="G238:G239">IF(ISBLANK(B238:B1031), "", XLOOKUP(B238:B1031, Sheet1!A238:A397, Sheet1!C238:C397, "Category Not Found", 0))</f>
        <v>#REF!</v>
      </c>
    </row>
    <row r="239">
      <c r="A239" s="1"/>
      <c r="B239" s="1" t="s">
        <v>1182</v>
      </c>
      <c r="C239" s="1" t="s">
        <v>1183</v>
      </c>
      <c r="D239" s="1" t="s">
        <v>1184</v>
      </c>
      <c r="E239" s="1" t="s">
        <v>1185</v>
      </c>
      <c r="F239" s="1" t="s">
        <v>1186</v>
      </c>
      <c r="G239" s="1" t="str">
        <f t="array" ref="G239:G240">IF(ISBLANK(B239:B1032), "", XLOOKUP(B239:B1032, Sheet1!A239:A398, Sheet1!C239:C398, "Category Not Found", 0))</f>
        <v>#REF!</v>
      </c>
    </row>
    <row r="240">
      <c r="A240" s="1"/>
      <c r="B240" s="1" t="s">
        <v>1187</v>
      </c>
      <c r="C240" s="1" t="s">
        <v>1188</v>
      </c>
      <c r="D240" s="1" t="s">
        <v>1189</v>
      </c>
      <c r="E240" s="1" t="s">
        <v>1190</v>
      </c>
      <c r="F240" s="1" t="s">
        <v>1191</v>
      </c>
      <c r="G240" s="1" t="str">
        <f t="array" ref="G240:G241">IF(ISBLANK(B240:B1033), "", XLOOKUP(B240:B1033, Sheet1!A240:A399, Sheet1!C240:C399, "Category Not Found", 0))</f>
        <v>#REF!</v>
      </c>
    </row>
    <row r="241">
      <c r="A241" s="1"/>
      <c r="B241" s="1" t="s">
        <v>1192</v>
      </c>
      <c r="C241" s="1" t="s">
        <v>1193</v>
      </c>
      <c r="D241" s="1" t="s">
        <v>1194</v>
      </c>
      <c r="E241" s="1" t="s">
        <v>1195</v>
      </c>
      <c r="F241" s="1" t="s">
        <v>1196</v>
      </c>
      <c r="G241" s="1" t="str">
        <f t="array" ref="G241:G242">IF(ISBLANK(B241:B1034), "", XLOOKUP(B241:B1034, Sheet1!A241:A400, Sheet1!C241:C400, "Category Not Found", 0))</f>
        <v>#REF!</v>
      </c>
    </row>
    <row r="242">
      <c r="A242" s="1"/>
      <c r="B242" s="1" t="s">
        <v>1197</v>
      </c>
      <c r="C242" s="1" t="s">
        <v>1198</v>
      </c>
      <c r="D242" s="1" t="s">
        <v>1199</v>
      </c>
      <c r="E242" s="1" t="s">
        <v>1200</v>
      </c>
      <c r="F242" s="1" t="s">
        <v>1201</v>
      </c>
      <c r="G242" s="1" t="str">
        <f t="array" ref="G242:G243">IF(ISBLANK(B242:B1035), "", XLOOKUP(B242:B1035, Sheet1!A242:A401, Sheet1!C242:C401, "Category Not Found", 0))</f>
        <v>#REF!</v>
      </c>
    </row>
    <row r="243">
      <c r="A243" s="1"/>
      <c r="B243" s="1" t="s">
        <v>1202</v>
      </c>
      <c r="C243" s="1" t="s">
        <v>1203</v>
      </c>
      <c r="D243" s="1" t="s">
        <v>1204</v>
      </c>
      <c r="E243" s="1" t="s">
        <v>1205</v>
      </c>
      <c r="F243" s="1" t="s">
        <v>1206</v>
      </c>
      <c r="G243" s="1" t="str">
        <f t="array" ref="G243:G244">IF(ISBLANK(B243:B1036), "", XLOOKUP(B243:B1036, Sheet1!A243:A402, Sheet1!C243:C402, "Category Not Found", 0))</f>
        <v>#REF!</v>
      </c>
    </row>
    <row r="244">
      <c r="A244" s="1"/>
      <c r="B244" s="1" t="s">
        <v>1207</v>
      </c>
      <c r="C244" s="1" t="s">
        <v>1208</v>
      </c>
      <c r="D244" s="1" t="s">
        <v>1209</v>
      </c>
      <c r="E244" s="1" t="s">
        <v>1210</v>
      </c>
      <c r="F244" s="1" t="s">
        <v>1211</v>
      </c>
      <c r="G244" s="1" t="str">
        <f t="array" ref="G244:G245">IF(ISBLANK(B244:B1037), "", XLOOKUP(B244:B1037, Sheet1!A244:A403, Sheet1!C244:C403, "Category Not Found", 0))</f>
        <v>#REF!</v>
      </c>
    </row>
    <row r="245">
      <c r="A245" s="1"/>
      <c r="B245" s="1" t="s">
        <v>1212</v>
      </c>
      <c r="C245" s="1" t="s">
        <v>1213</v>
      </c>
      <c r="D245" s="1" t="s">
        <v>1214</v>
      </c>
      <c r="E245" s="1" t="s">
        <v>1215</v>
      </c>
      <c r="F245" s="1" t="s">
        <v>1216</v>
      </c>
      <c r="G245" s="1" t="str">
        <f t="array" ref="G245:G246">IF(ISBLANK(B245:B1038), "", XLOOKUP(B245:B1038, Sheet1!A245:A404, Sheet1!C245:C404, "Category Not Found", 0))</f>
        <v>#REF!</v>
      </c>
    </row>
    <row r="246">
      <c r="A246" s="1"/>
      <c r="B246" s="1" t="s">
        <v>1217</v>
      </c>
      <c r="C246" s="1" t="s">
        <v>1218</v>
      </c>
      <c r="D246" s="1" t="s">
        <v>1219</v>
      </c>
      <c r="E246" s="1" t="s">
        <v>1220</v>
      </c>
      <c r="F246" s="1" t="s">
        <v>1221</v>
      </c>
      <c r="G246" s="1" t="str">
        <f t="array" ref="G246:G247">IF(ISBLANK(B246:B1039), "", XLOOKUP(B246:B1039, Sheet1!A246:A405, Sheet1!C246:C405, "Category Not Found", 0))</f>
        <v>#REF!</v>
      </c>
    </row>
    <row r="247">
      <c r="A247" s="1"/>
      <c r="B247" s="1" t="s">
        <v>1222</v>
      </c>
      <c r="C247" s="1" t="s">
        <v>1223</v>
      </c>
      <c r="D247" s="1" t="s">
        <v>1224</v>
      </c>
      <c r="E247" s="1" t="s">
        <v>1225</v>
      </c>
      <c r="F247" s="1" t="s">
        <v>1226</v>
      </c>
      <c r="G247" s="1" t="str">
        <f t="array" ref="G247:G248">IF(ISBLANK(B247:B1040), "", XLOOKUP(B247:B1040, Sheet1!A247:A406, Sheet1!C247:C406, "Category Not Found", 0))</f>
        <v>#REF!</v>
      </c>
    </row>
    <row r="248">
      <c r="A248" s="1"/>
      <c r="B248" s="1" t="s">
        <v>1227</v>
      </c>
      <c r="C248" s="1" t="s">
        <v>1228</v>
      </c>
      <c r="D248" s="1" t="s">
        <v>1229</v>
      </c>
      <c r="E248" s="1" t="s">
        <v>1230</v>
      </c>
      <c r="F248" s="1" t="s">
        <v>1231</v>
      </c>
      <c r="G248" s="1" t="str">
        <f t="array" ref="G248:G249">IF(ISBLANK(B248:B1041), "", XLOOKUP(B248:B1041, Sheet1!A248:A407, Sheet1!C248:C407, "Category Not Found", 0))</f>
        <v>#REF!</v>
      </c>
    </row>
    <row r="249">
      <c r="A249" s="1"/>
      <c r="B249" s="1" t="s">
        <v>1232</v>
      </c>
      <c r="C249" s="1" t="s">
        <v>1233</v>
      </c>
      <c r="D249" s="1" t="s">
        <v>1234</v>
      </c>
      <c r="E249" s="1" t="s">
        <v>1235</v>
      </c>
      <c r="F249" s="1" t="s">
        <v>1236</v>
      </c>
      <c r="G249" s="1" t="str">
        <f t="array" ref="G249:G250">IF(ISBLANK(B249:B1042), "", XLOOKUP(B249:B1042, Sheet1!A249:A408, Sheet1!C249:C408, "Category Not Found", 0))</f>
        <v>#REF!</v>
      </c>
    </row>
    <row r="250">
      <c r="A250" s="1"/>
      <c r="B250" s="1" t="s">
        <v>1237</v>
      </c>
      <c r="C250" s="1" t="s">
        <v>1238</v>
      </c>
      <c r="D250" s="1" t="s">
        <v>1239</v>
      </c>
      <c r="E250" s="1" t="s">
        <v>1240</v>
      </c>
      <c r="F250" s="1" t="s">
        <v>1241</v>
      </c>
      <c r="G250" s="1" t="str">
        <f t="array" ref="G250:G251">IF(ISBLANK(B250:B1043), "", XLOOKUP(B250:B1043, Sheet1!A250:A409, Sheet1!C250:C409, "Category Not Found", 0))</f>
        <v>#REF!</v>
      </c>
    </row>
    <row r="251">
      <c r="A251" s="1"/>
      <c r="B251" s="1" t="s">
        <v>1242</v>
      </c>
      <c r="C251" s="1" t="s">
        <v>1243</v>
      </c>
      <c r="D251" s="1" t="s">
        <v>1244</v>
      </c>
      <c r="E251" s="1" t="s">
        <v>1245</v>
      </c>
      <c r="F251" s="1" t="s">
        <v>1246</v>
      </c>
      <c r="G251" s="1" t="str">
        <f t="array" ref="G251:G252">IF(ISBLANK(B251:B1044), "", XLOOKUP(B251:B1044, Sheet1!A251:A410, Sheet1!C251:C410, "Category Not Found", 0))</f>
        <v>#REF!</v>
      </c>
    </row>
    <row r="252">
      <c r="A252" s="1"/>
      <c r="B252" s="1" t="s">
        <v>1247</v>
      </c>
      <c r="C252" s="1" t="s">
        <v>1248</v>
      </c>
      <c r="D252" s="1" t="s">
        <v>1249</v>
      </c>
      <c r="E252" s="1" t="s">
        <v>1250</v>
      </c>
      <c r="F252" s="1" t="s">
        <v>1251</v>
      </c>
      <c r="G252" s="1" t="str">
        <f t="array" ref="G252:G253">IF(ISBLANK(B252:B1045), "", XLOOKUP(B252:B1045, Sheet1!A252:A411, Sheet1!C252:C411, "Category Not Found", 0))</f>
        <v>#REF!</v>
      </c>
    </row>
    <row r="253">
      <c r="A253" s="1"/>
      <c r="B253" s="1" t="s">
        <v>1252</v>
      </c>
      <c r="C253" s="1" t="s">
        <v>1253</v>
      </c>
      <c r="D253" s="1" t="s">
        <v>1254</v>
      </c>
      <c r="E253" s="1" t="s">
        <v>1255</v>
      </c>
      <c r="F253" s="1" t="s">
        <v>1256</v>
      </c>
      <c r="G253" s="1" t="str">
        <f t="array" ref="G253:G254">IF(ISBLANK(B253:B1046), "", XLOOKUP(B253:B1046, Sheet1!A253:A412, Sheet1!C253:C412, "Category Not Found", 0))</f>
        <v>#REF!</v>
      </c>
    </row>
    <row r="254">
      <c r="A254" s="1"/>
      <c r="B254" s="1" t="s">
        <v>1257</v>
      </c>
      <c r="C254" s="1" t="s">
        <v>1258</v>
      </c>
      <c r="D254" s="1" t="s">
        <v>1259</v>
      </c>
      <c r="E254" s="1" t="s">
        <v>1260</v>
      </c>
      <c r="F254" s="1" t="s">
        <v>1261</v>
      </c>
      <c r="G254" s="1" t="str">
        <f t="array" ref="G254:G255">IF(ISBLANK(B254:B1047), "", XLOOKUP(B254:B1047, Sheet1!A254:A413, Sheet1!C254:C413, "Category Not Found", 0))</f>
        <v>#REF!</v>
      </c>
    </row>
    <row r="255">
      <c r="A255" s="1"/>
      <c r="B255" s="1" t="s">
        <v>1262</v>
      </c>
      <c r="C255" s="1" t="s">
        <v>1263</v>
      </c>
      <c r="D255" s="1" t="s">
        <v>1264</v>
      </c>
      <c r="E255" s="1" t="s">
        <v>1265</v>
      </c>
      <c r="F255" s="1" t="s">
        <v>1266</v>
      </c>
      <c r="G255" s="1" t="str">
        <f t="array" ref="G255:G256">IF(ISBLANK(B255:B1048), "", XLOOKUP(B255:B1048, Sheet1!A255:A414, Sheet1!C255:C414, "Category Not Found", 0))</f>
        <v>#REF!</v>
      </c>
    </row>
    <row r="256">
      <c r="A256" s="1"/>
      <c r="B256" s="1" t="s">
        <v>1267</v>
      </c>
      <c r="C256" s="1" t="s">
        <v>1268</v>
      </c>
      <c r="D256" s="1" t="s">
        <v>1269</v>
      </c>
      <c r="E256" s="1" t="s">
        <v>1270</v>
      </c>
      <c r="F256" s="1" t="s">
        <v>1271</v>
      </c>
      <c r="G256" s="1" t="str">
        <f t="array" ref="G256:G257">IF(ISBLANK(B256:B1049), "", XLOOKUP(B256:B1049, Sheet1!A256:A415, Sheet1!C256:C415, "Category Not Found", 0))</f>
        <v>#REF!</v>
      </c>
    </row>
    <row r="257">
      <c r="A257" s="1"/>
      <c r="B257" s="1" t="s">
        <v>1272</v>
      </c>
      <c r="C257" s="1" t="s">
        <v>1273</v>
      </c>
      <c r="D257" s="1" t="s">
        <v>1274</v>
      </c>
      <c r="E257" s="1" t="s">
        <v>1275</v>
      </c>
      <c r="F257" s="1" t="s">
        <v>1276</v>
      </c>
      <c r="G257" s="1" t="str">
        <f t="array" ref="G257:G258">IF(ISBLANK(B257:B1050), "", XLOOKUP(B257:B1050, Sheet1!A257:A416, Sheet1!C257:C416, "Category Not Found", 0))</f>
        <v>#REF!</v>
      </c>
    </row>
    <row r="258">
      <c r="A258" s="1"/>
      <c r="B258" s="1" t="s">
        <v>1277</v>
      </c>
      <c r="C258" s="1" t="s">
        <v>1278</v>
      </c>
      <c r="D258" s="1" t="s">
        <v>1279</v>
      </c>
      <c r="E258" s="1" t="s">
        <v>1280</v>
      </c>
      <c r="F258" s="1" t="s">
        <v>1281</v>
      </c>
      <c r="G258" s="1" t="str">
        <f t="array" ref="G258:G259">IF(ISBLANK(B258:B1051), "", XLOOKUP(B258:B1051, Sheet1!A258:A417, Sheet1!C258:C417, "Category Not Found", 0))</f>
        <v>#REF!</v>
      </c>
    </row>
    <row r="259">
      <c r="A259" s="1"/>
      <c r="B259" s="1" t="s">
        <v>1282</v>
      </c>
      <c r="C259" s="1" t="s">
        <v>1283</v>
      </c>
      <c r="D259" s="1" t="s">
        <v>1284</v>
      </c>
      <c r="E259" s="1" t="s">
        <v>1285</v>
      </c>
      <c r="F259" s="1" t="s">
        <v>1286</v>
      </c>
      <c r="G259" s="1" t="str">
        <f t="array" ref="G259:G260">IF(ISBLANK(B259:B1052), "", XLOOKUP(B259:B1052, Sheet1!A259:A418, Sheet1!C259:C418, "Category Not Found", 0))</f>
        <v>#REF!</v>
      </c>
    </row>
    <row r="260">
      <c r="A260" s="1"/>
      <c r="B260" s="1" t="s">
        <v>1287</v>
      </c>
      <c r="C260" s="1" t="s">
        <v>1288</v>
      </c>
      <c r="D260" s="1" t="s">
        <v>1289</v>
      </c>
      <c r="E260" s="1" t="s">
        <v>1290</v>
      </c>
      <c r="F260" s="1" t="s">
        <v>1291</v>
      </c>
      <c r="G260" s="1" t="str">
        <f t="array" ref="G260:G261">IF(ISBLANK(B260:B1053), "", XLOOKUP(B260:B1053, Sheet1!A260:A419, Sheet1!C260:C419, "Category Not Found", 0))</f>
        <v>#REF!</v>
      </c>
    </row>
    <row r="261">
      <c r="A261" s="1"/>
      <c r="B261" s="1" t="s">
        <v>1292</v>
      </c>
      <c r="C261" s="1" t="s">
        <v>1293</v>
      </c>
      <c r="D261" s="1" t="s">
        <v>1294</v>
      </c>
      <c r="E261" s="1" t="s">
        <v>1295</v>
      </c>
      <c r="F261" s="1" t="s">
        <v>1296</v>
      </c>
      <c r="G261" s="1" t="str">
        <f t="array" ref="G261:G262">IF(ISBLANK(B261:B1054), "", XLOOKUP(B261:B1054, Sheet1!A261:A420, Sheet1!C261:C420, "Category Not Found", 0))</f>
        <v>#REF!</v>
      </c>
    </row>
    <row r="262">
      <c r="A262" s="1"/>
      <c r="B262" s="1" t="s">
        <v>1297</v>
      </c>
      <c r="C262" s="1" t="s">
        <v>1298</v>
      </c>
      <c r="D262" s="1" t="s">
        <v>1299</v>
      </c>
      <c r="E262" s="1" t="s">
        <v>1300</v>
      </c>
      <c r="F262" s="1" t="s">
        <v>1301</v>
      </c>
      <c r="G262" s="1" t="str">
        <f t="array" ref="G262:G263">IF(ISBLANK(B262:B1055), "", XLOOKUP(B262:B1055, Sheet1!A262:A421, Sheet1!C262:C421, "Category Not Found", 0))</f>
        <v>#REF!</v>
      </c>
    </row>
    <row r="263">
      <c r="A263" s="1"/>
      <c r="B263" s="1" t="s">
        <v>1302</v>
      </c>
      <c r="C263" s="1" t="s">
        <v>1303</v>
      </c>
      <c r="D263" s="1" t="s">
        <v>1304</v>
      </c>
      <c r="E263" s="1" t="s">
        <v>1305</v>
      </c>
      <c r="F263" s="1" t="s">
        <v>1306</v>
      </c>
      <c r="G263" s="1" t="str">
        <f t="array" ref="G263:G264">IF(ISBLANK(B263:B1056), "", XLOOKUP(B263:B1056, Sheet1!A263:A422, Sheet1!C263:C422, "Category Not Found", 0))</f>
        <v>#REF!</v>
      </c>
    </row>
    <row r="264">
      <c r="A264" s="1"/>
      <c r="B264" s="1" t="s">
        <v>1307</v>
      </c>
      <c r="C264" s="1" t="s">
        <v>1308</v>
      </c>
      <c r="D264" s="1" t="s">
        <v>1309</v>
      </c>
      <c r="E264" s="1" t="s">
        <v>1310</v>
      </c>
      <c r="F264" s="1" t="s">
        <v>1311</v>
      </c>
      <c r="G264" s="1" t="str">
        <f t="array" ref="G264:G265">IF(ISBLANK(B264:B1057), "", XLOOKUP(B264:B1057, Sheet1!A264:A423, Sheet1!C264:C423, "Category Not Found", 0))</f>
        <v>#REF!</v>
      </c>
    </row>
    <row r="265">
      <c r="A265" s="1"/>
      <c r="B265" s="1" t="s">
        <v>1312</v>
      </c>
      <c r="C265" s="1" t="s">
        <v>1313</v>
      </c>
      <c r="D265" s="1" t="s">
        <v>1314</v>
      </c>
      <c r="E265" s="1" t="s">
        <v>1315</v>
      </c>
      <c r="F265" s="1" t="s">
        <v>1316</v>
      </c>
      <c r="G265" s="1" t="str">
        <f t="array" ref="G265:G266">IF(ISBLANK(B265:B1058), "", XLOOKUP(B265:B1058, Sheet1!A265:A424, Sheet1!C265:C424, "Category Not Found", 0))</f>
        <v>#REF!</v>
      </c>
    </row>
    <row r="266">
      <c r="A266" s="1"/>
      <c r="B266" s="1" t="s">
        <v>1317</v>
      </c>
      <c r="C266" s="1" t="s">
        <v>1318</v>
      </c>
      <c r="D266" s="1" t="s">
        <v>1319</v>
      </c>
      <c r="E266" s="1" t="s">
        <v>1320</v>
      </c>
      <c r="F266" s="1" t="s">
        <v>1321</v>
      </c>
      <c r="G266" s="1" t="str">
        <f t="array" ref="G266:G267">IF(ISBLANK(B266:B1059), "", XLOOKUP(B266:B1059, Sheet1!A266:A425, Sheet1!C266:C425, "Category Not Found", 0))</f>
        <v>#REF!</v>
      </c>
    </row>
    <row r="267">
      <c r="A267" s="1"/>
      <c r="B267" s="1" t="s">
        <v>1322</v>
      </c>
      <c r="C267" s="1" t="s">
        <v>1323</v>
      </c>
      <c r="D267" s="1" t="s">
        <v>1324</v>
      </c>
      <c r="E267" s="1" t="s">
        <v>1325</v>
      </c>
      <c r="F267" s="1" t="s">
        <v>1326</v>
      </c>
      <c r="G267" s="1" t="str">
        <f t="array" ref="G267:G268">IF(ISBLANK(B267:B1060), "", XLOOKUP(B267:B1060, Sheet1!A267:A426, Sheet1!C267:C426, "Category Not Found", 0))</f>
        <v>#REF!</v>
      </c>
    </row>
    <row r="268">
      <c r="A268" s="1"/>
      <c r="B268" s="1" t="s">
        <v>1327</v>
      </c>
      <c r="C268" s="1" t="s">
        <v>1328</v>
      </c>
      <c r="D268" s="1" t="s">
        <v>1329</v>
      </c>
      <c r="E268" s="1" t="s">
        <v>1330</v>
      </c>
      <c r="F268" s="1" t="s">
        <v>1331</v>
      </c>
      <c r="G268" s="1" t="str">
        <f t="array" ref="G268:G269">IF(ISBLANK(B268:B1061), "", XLOOKUP(B268:B1061, Sheet1!A268:A427, Sheet1!C268:C427, "Category Not Found", 0))</f>
        <v>#REF!</v>
      </c>
    </row>
    <row r="269">
      <c r="A269" s="1"/>
      <c r="B269" s="1" t="s">
        <v>1332</v>
      </c>
      <c r="C269" s="1" t="s">
        <v>1333</v>
      </c>
      <c r="D269" s="1" t="s">
        <v>1334</v>
      </c>
      <c r="E269" s="1" t="s">
        <v>1335</v>
      </c>
      <c r="F269" s="1" t="s">
        <v>1336</v>
      </c>
      <c r="G269" s="1" t="str">
        <f t="array" ref="G269:G270">IF(ISBLANK(B269:B1062), "", XLOOKUP(B269:B1062, Sheet1!A269:A428, Sheet1!C269:C428, "Category Not Found", 0))</f>
        <v>#REF!</v>
      </c>
    </row>
    <row r="270">
      <c r="A270" s="1"/>
      <c r="B270" s="1" t="s">
        <v>1337</v>
      </c>
      <c r="C270" s="1" t="s">
        <v>1338</v>
      </c>
      <c r="D270" s="1" t="s">
        <v>1339</v>
      </c>
      <c r="E270" s="1" t="s">
        <v>1340</v>
      </c>
      <c r="F270" s="1" t="s">
        <v>1341</v>
      </c>
      <c r="G270" s="1" t="str">
        <f t="array" ref="G270:G271">IF(ISBLANK(B270:B1063), "", XLOOKUP(B270:B1063, Sheet1!A270:A429, Sheet1!C270:C429, "Category Not Found", 0))</f>
        <v>#REF!</v>
      </c>
    </row>
    <row r="271">
      <c r="A271" s="1"/>
      <c r="B271" s="1" t="s">
        <v>1342</v>
      </c>
      <c r="C271" s="1" t="s">
        <v>1343</v>
      </c>
      <c r="D271" s="1" t="s">
        <v>1344</v>
      </c>
      <c r="E271" s="1" t="s">
        <v>1345</v>
      </c>
      <c r="F271" s="1" t="s">
        <v>1346</v>
      </c>
      <c r="G271" s="1" t="str">
        <f t="array" ref="G271:G272">IF(ISBLANK(B271:B1064), "", XLOOKUP(B271:B1064, Sheet1!A271:A430, Sheet1!C271:C430, "Category Not Found", 0))</f>
        <v>#REF!</v>
      </c>
    </row>
    <row r="272">
      <c r="A272" s="1"/>
      <c r="B272" s="1" t="s">
        <v>1347</v>
      </c>
      <c r="C272" s="1" t="s">
        <v>1348</v>
      </c>
      <c r="D272" s="1" t="s">
        <v>1349</v>
      </c>
      <c r="E272" s="1" t="s">
        <v>1350</v>
      </c>
      <c r="F272" s="1" t="s">
        <v>1351</v>
      </c>
      <c r="G272" s="1" t="str">
        <f t="array" ref="G272:G273">IF(ISBLANK(B272:B1065), "", XLOOKUP(B272:B1065, Sheet1!A272:A431, Sheet1!C272:C431, "Category Not Found", 0))</f>
        <v>#REF!</v>
      </c>
    </row>
    <row r="273">
      <c r="A273" s="1"/>
      <c r="B273" s="1" t="s">
        <v>1352</v>
      </c>
      <c r="C273" s="1" t="s">
        <v>1353</v>
      </c>
      <c r="D273" s="1" t="s">
        <v>1354</v>
      </c>
      <c r="E273" s="1" t="s">
        <v>1355</v>
      </c>
      <c r="F273" s="1" t="s">
        <v>1356</v>
      </c>
      <c r="G273" s="1" t="str">
        <f t="array" ref="G273:G274">IF(ISBLANK(B273:B1066), "", XLOOKUP(B273:B1066, Sheet1!A273:A432, Sheet1!C273:C432, "Category Not Found", 0))</f>
        <v>#REF!</v>
      </c>
    </row>
    <row r="274">
      <c r="A274" s="1"/>
      <c r="B274" s="1" t="s">
        <v>1357</v>
      </c>
      <c r="C274" s="1" t="s">
        <v>1358</v>
      </c>
      <c r="D274" s="1" t="s">
        <v>1359</v>
      </c>
      <c r="E274" s="1" t="s">
        <v>1360</v>
      </c>
      <c r="F274" s="1" t="s">
        <v>1361</v>
      </c>
      <c r="G274" s="1" t="str">
        <f t="array" ref="G274:G275">IF(ISBLANK(B274:B1067), "", XLOOKUP(B274:B1067, Sheet1!A274:A433, Sheet1!C274:C433, "Category Not Found", 0))</f>
        <v>#REF!</v>
      </c>
    </row>
    <row r="275">
      <c r="A275" s="1"/>
      <c r="B275" s="1" t="s">
        <v>1362</v>
      </c>
      <c r="C275" s="1" t="s">
        <v>1363</v>
      </c>
      <c r="D275" s="1" t="s">
        <v>1364</v>
      </c>
      <c r="E275" s="1" t="s">
        <v>1365</v>
      </c>
      <c r="F275" s="1" t="s">
        <v>1366</v>
      </c>
      <c r="G275" s="1" t="str">
        <f t="array" ref="G275:G276">IF(ISBLANK(B275:B1068), "", XLOOKUP(B275:B1068, Sheet1!A275:A434, Sheet1!C275:C434, "Category Not Found", 0))</f>
        <v>#REF!</v>
      </c>
    </row>
    <row r="276">
      <c r="A276" s="1"/>
      <c r="B276" s="1" t="s">
        <v>1367</v>
      </c>
      <c r="C276" s="1" t="s">
        <v>1368</v>
      </c>
      <c r="D276" s="1" t="s">
        <v>1369</v>
      </c>
      <c r="E276" s="1" t="s">
        <v>1370</v>
      </c>
      <c r="F276" s="1" t="s">
        <v>1371</v>
      </c>
      <c r="G276" s="1" t="str">
        <f t="array" ref="G276:G277">IF(ISBLANK(B276:B1069), "", XLOOKUP(B276:B1069, Sheet1!A276:A435, Sheet1!C276:C435, "Category Not Found", 0))</f>
        <v>#REF!</v>
      </c>
    </row>
    <row r="277">
      <c r="A277" s="1"/>
      <c r="B277" s="1" t="s">
        <v>1372</v>
      </c>
      <c r="C277" s="1" t="s">
        <v>1373</v>
      </c>
      <c r="D277" s="1" t="s">
        <v>1374</v>
      </c>
      <c r="E277" s="1" t="s">
        <v>1375</v>
      </c>
      <c r="F277" s="1" t="s">
        <v>1376</v>
      </c>
      <c r="G277" s="1" t="str">
        <f t="array" ref="G277:G278">IF(ISBLANK(B277:B1070), "", XLOOKUP(B277:B1070, Sheet1!A277:A436, Sheet1!C277:C436, "Category Not Found", 0))</f>
        <v>#REF!</v>
      </c>
    </row>
    <row r="278">
      <c r="A278" s="1"/>
      <c r="B278" s="1" t="s">
        <v>1377</v>
      </c>
      <c r="C278" s="1" t="s">
        <v>1378</v>
      </c>
      <c r="D278" s="1" t="s">
        <v>1379</v>
      </c>
      <c r="E278" s="1" t="s">
        <v>1380</v>
      </c>
      <c r="F278" s="1" t="s">
        <v>1381</v>
      </c>
      <c r="G278" s="1" t="str">
        <f t="array" ref="G278:G279">IF(ISBLANK(B278:B1071), "", XLOOKUP(B278:B1071, Sheet1!A278:A437, Sheet1!C278:C437, "Category Not Found", 0))</f>
        <v>#REF!</v>
      </c>
    </row>
    <row r="279">
      <c r="A279" s="1"/>
      <c r="B279" s="1" t="s">
        <v>1382</v>
      </c>
      <c r="C279" s="1" t="s">
        <v>1383</v>
      </c>
      <c r="D279" s="1" t="s">
        <v>1384</v>
      </c>
      <c r="E279" s="1" t="s">
        <v>1385</v>
      </c>
      <c r="F279" s="1" t="s">
        <v>1386</v>
      </c>
      <c r="G279" s="1" t="str">
        <f t="array" ref="G279:G280">IF(ISBLANK(B279:B1072), "", XLOOKUP(B279:B1072, Sheet1!A279:A438, Sheet1!C279:C438, "Category Not Found", 0))</f>
        <v>#REF!</v>
      </c>
    </row>
    <row r="280">
      <c r="A280" s="1"/>
      <c r="B280" s="1" t="s">
        <v>1387</v>
      </c>
      <c r="C280" s="1" t="s">
        <v>1388</v>
      </c>
      <c r="D280" s="1" t="s">
        <v>1389</v>
      </c>
      <c r="E280" s="1" t="s">
        <v>1390</v>
      </c>
      <c r="F280" s="1" t="s">
        <v>1391</v>
      </c>
      <c r="G280" s="1" t="str">
        <f t="array" ref="G280:G281">IF(ISBLANK(B280:B1073), "", XLOOKUP(B280:B1073, Sheet1!A280:A439, Sheet1!C280:C439, "Category Not Found", 0))</f>
        <v>#REF!</v>
      </c>
    </row>
    <row r="281">
      <c r="A281" s="1"/>
      <c r="B281" s="1" t="s">
        <v>1392</v>
      </c>
      <c r="C281" s="1" t="s">
        <v>1393</v>
      </c>
      <c r="D281" s="1" t="s">
        <v>1394</v>
      </c>
      <c r="E281" s="1" t="s">
        <v>1395</v>
      </c>
      <c r="F281" s="1" t="s">
        <v>1396</v>
      </c>
      <c r="G281" s="1" t="str">
        <f t="array" ref="G281:G282">IF(ISBLANK(B281:B1074), "", XLOOKUP(B281:B1074, Sheet1!A281:A440, Sheet1!C281:C440, "Category Not Found", 0))</f>
        <v>#REF!</v>
      </c>
    </row>
    <row r="282">
      <c r="A282" s="1"/>
      <c r="B282" s="1" t="s">
        <v>1397</v>
      </c>
      <c r="C282" s="1" t="s">
        <v>1398</v>
      </c>
      <c r="D282" s="1" t="s">
        <v>1399</v>
      </c>
      <c r="E282" s="1" t="s">
        <v>1400</v>
      </c>
      <c r="F282" s="1" t="s">
        <v>1401</v>
      </c>
      <c r="G282" s="1" t="str">
        <f t="array" ref="G282:G283">IF(ISBLANK(B282:B1075), "", XLOOKUP(B282:B1075, Sheet1!A282:A441, Sheet1!C282:C441, "Category Not Found", 0))</f>
        <v>#REF!</v>
      </c>
    </row>
    <row r="283">
      <c r="A283" s="1"/>
      <c r="B283" s="1" t="s">
        <v>1402</v>
      </c>
      <c r="C283" s="1" t="s">
        <v>645</v>
      </c>
      <c r="D283" s="1" t="s">
        <v>1403</v>
      </c>
      <c r="E283" s="1" t="s">
        <v>1404</v>
      </c>
      <c r="F283" s="1" t="s">
        <v>1405</v>
      </c>
      <c r="G283" s="1" t="str">
        <f t="array" ref="G283:G284">IF(ISBLANK(B283:B1076), "", XLOOKUP(B283:B1076, Sheet1!A283:A442, Sheet1!C283:C442, "Category Not Found", 0))</f>
        <v>#REF!</v>
      </c>
    </row>
    <row r="284">
      <c r="A284" s="1"/>
      <c r="B284" s="1" t="s">
        <v>1406</v>
      </c>
      <c r="C284" s="1" t="s">
        <v>1407</v>
      </c>
      <c r="D284" s="1" t="s">
        <v>1299</v>
      </c>
      <c r="E284" s="1" t="s">
        <v>1408</v>
      </c>
      <c r="F284" s="1" t="s">
        <v>1409</v>
      </c>
      <c r="G284" s="1" t="str">
        <f t="array" ref="G284:G285">IF(ISBLANK(B284:B1077), "", XLOOKUP(B284:B1077, Sheet1!A284:A443, Sheet1!C284:C443, "Category Not Found", 0))</f>
        <v>#REF!</v>
      </c>
    </row>
    <row r="285">
      <c r="A285" s="1"/>
      <c r="B285" s="1" t="s">
        <v>1410</v>
      </c>
      <c r="C285" s="1" t="s">
        <v>1411</v>
      </c>
      <c r="D285" s="1" t="s">
        <v>1412</v>
      </c>
      <c r="E285" s="1" t="s">
        <v>1413</v>
      </c>
      <c r="F285" s="1" t="s">
        <v>1414</v>
      </c>
      <c r="G285" s="1" t="str">
        <f t="array" ref="G285:G286">IF(ISBLANK(B285:B1078), "", XLOOKUP(B285:B1078, Sheet1!A285:A444, Sheet1!C285:C444, "Category Not Found", 0))</f>
        <v>#REF!</v>
      </c>
    </row>
    <row r="286">
      <c r="A286" s="1"/>
      <c r="B286" s="1" t="s">
        <v>1415</v>
      </c>
      <c r="C286" s="1" t="s">
        <v>1416</v>
      </c>
      <c r="D286" s="1" t="s">
        <v>1417</v>
      </c>
      <c r="E286" s="1" t="s">
        <v>1418</v>
      </c>
      <c r="F286" s="1" t="s">
        <v>1419</v>
      </c>
      <c r="G286" s="1" t="str">
        <f t="array" ref="G286:G287">IF(ISBLANK(B286:B1079), "", XLOOKUP(B286:B1079, Sheet1!A286:A445, Sheet1!C286:C445, "Category Not Found", 0))</f>
        <v>#REF!</v>
      </c>
    </row>
    <row r="287">
      <c r="A287" s="1"/>
      <c r="B287" s="1" t="s">
        <v>1420</v>
      </c>
      <c r="C287" s="1" t="s">
        <v>1421</v>
      </c>
      <c r="D287" s="1" t="s">
        <v>1422</v>
      </c>
      <c r="E287" s="1" t="s">
        <v>1423</v>
      </c>
      <c r="F287" s="1" t="s">
        <v>1424</v>
      </c>
      <c r="G287" s="1" t="str">
        <f t="array" ref="G287:G288">IF(ISBLANK(B287:B1080), "", XLOOKUP(B287:B1080, Sheet1!A287:A446, Sheet1!C287:C446, "Category Not Found", 0))</f>
        <v>#REF!</v>
      </c>
    </row>
    <row r="288">
      <c r="A288" s="1"/>
      <c r="B288" s="1" t="s">
        <v>1425</v>
      </c>
      <c r="C288" s="1" t="s">
        <v>1426</v>
      </c>
      <c r="D288" s="1" t="s">
        <v>1427</v>
      </c>
      <c r="E288" s="1" t="s">
        <v>1428</v>
      </c>
      <c r="F288" s="1" t="s">
        <v>1429</v>
      </c>
      <c r="G288" s="1" t="str">
        <f t="array" ref="G288:G289">IF(ISBLANK(B288:B1081), "", XLOOKUP(B288:B1081, Sheet1!A288:A447, Sheet1!C288:C447, "Category Not Found", 0))</f>
        <v>#REF!</v>
      </c>
    </row>
    <row r="289">
      <c r="A289" s="1"/>
      <c r="B289" s="1" t="s">
        <v>1430</v>
      </c>
      <c r="C289" s="1" t="s">
        <v>1431</v>
      </c>
      <c r="D289" s="1" t="s">
        <v>1432</v>
      </c>
      <c r="E289" s="1" t="s">
        <v>1433</v>
      </c>
      <c r="F289" s="1" t="s">
        <v>1434</v>
      </c>
      <c r="G289" s="1" t="str">
        <f t="array" ref="G289:G290">IF(ISBLANK(B289:B1082), "", XLOOKUP(B289:B1082, Sheet1!A289:A448, Sheet1!C289:C448, "Category Not Found", 0))</f>
        <v>#REF!</v>
      </c>
    </row>
    <row r="290">
      <c r="A290" s="1"/>
      <c r="B290" s="1" t="s">
        <v>1435</v>
      </c>
      <c r="C290" s="1" t="s">
        <v>1436</v>
      </c>
      <c r="D290" s="1" t="s">
        <v>1437</v>
      </c>
      <c r="E290" s="1" t="s">
        <v>1438</v>
      </c>
      <c r="F290" s="1" t="s">
        <v>1439</v>
      </c>
      <c r="G290" s="1" t="str">
        <f t="array" ref="G290:G291">IF(ISBLANK(B290:B1083), "", XLOOKUP(B290:B1083, Sheet1!A290:A449, Sheet1!C290:C449, "Category Not Found", 0))</f>
        <v>#REF!</v>
      </c>
    </row>
    <row r="291">
      <c r="A291" s="1"/>
      <c r="B291" s="1" t="s">
        <v>1440</v>
      </c>
      <c r="C291" s="1" t="s">
        <v>1441</v>
      </c>
      <c r="D291" s="1" t="s">
        <v>1442</v>
      </c>
      <c r="E291" s="1" t="s">
        <v>736</v>
      </c>
      <c r="F291" s="1" t="s">
        <v>1443</v>
      </c>
      <c r="G291" s="1" t="str">
        <f t="array" ref="G291:G292">IF(ISBLANK(B291:B1084), "", XLOOKUP(B291:B1084, Sheet1!A291:A450, Sheet1!C291:C450, "Category Not Found", 0))</f>
        <v>#REF!</v>
      </c>
    </row>
    <row r="292">
      <c r="A292" s="1"/>
      <c r="B292" s="1" t="s">
        <v>1444</v>
      </c>
      <c r="C292" s="1" t="s">
        <v>1445</v>
      </c>
      <c r="D292" s="1" t="s">
        <v>1446</v>
      </c>
      <c r="E292" s="1" t="s">
        <v>1447</v>
      </c>
      <c r="F292" s="1" t="s">
        <v>1448</v>
      </c>
      <c r="G292" s="1" t="str">
        <f t="array" ref="G292:G293">IF(ISBLANK(B292:B1085), "", XLOOKUP(B292:B1085, Sheet1!A292:A451, Sheet1!C292:C451, "Category Not Found", 0))</f>
        <v>#REF!</v>
      </c>
    </row>
    <row r="293">
      <c r="A293" s="1"/>
      <c r="B293" s="1" t="s">
        <v>1449</v>
      </c>
      <c r="C293" s="1" t="s">
        <v>1450</v>
      </c>
      <c r="D293" s="1" t="s">
        <v>1451</v>
      </c>
      <c r="E293" s="1" t="s">
        <v>1452</v>
      </c>
      <c r="F293" s="1" t="s">
        <v>1453</v>
      </c>
      <c r="G293" s="1" t="str">
        <f t="array" ref="G293:G294">IF(ISBLANK(B293:B1086), "", XLOOKUP(B293:B1086, Sheet1!A293:A452, Sheet1!C293:C452, "Category Not Found", 0))</f>
        <v>#REF!</v>
      </c>
    </row>
    <row r="294">
      <c r="A294" s="1"/>
      <c r="B294" s="1" t="s">
        <v>1454</v>
      </c>
      <c r="C294" s="1" t="s">
        <v>1455</v>
      </c>
      <c r="D294" s="1" t="s">
        <v>1456</v>
      </c>
      <c r="E294" s="1" t="s">
        <v>1457</v>
      </c>
      <c r="F294" s="1" t="s">
        <v>1458</v>
      </c>
      <c r="G294" s="1" t="str">
        <f t="array" ref="G294:G295">IF(ISBLANK(B294:B1087), "", XLOOKUP(B294:B1087, Sheet1!A294:A453, Sheet1!C294:C453, "Category Not Found", 0))</f>
        <v>#REF!</v>
      </c>
    </row>
    <row r="295">
      <c r="A295" s="1"/>
      <c r="B295" s="1" t="s">
        <v>1459</v>
      </c>
      <c r="C295" s="1" t="s">
        <v>1460</v>
      </c>
      <c r="D295" s="1" t="s">
        <v>1461</v>
      </c>
      <c r="E295" s="1" t="s">
        <v>1462</v>
      </c>
      <c r="F295" s="1" t="s">
        <v>1463</v>
      </c>
      <c r="G295" s="1" t="str">
        <f t="array" ref="G295:G296">IF(ISBLANK(B295:B1088), "", XLOOKUP(B295:B1088, Sheet1!A295:A454, Sheet1!C295:C454, "Category Not Found", 0))</f>
        <v>#REF!</v>
      </c>
    </row>
    <row r="296">
      <c r="A296" s="1"/>
      <c r="B296" s="1" t="s">
        <v>1464</v>
      </c>
      <c r="C296" s="1" t="s">
        <v>1465</v>
      </c>
      <c r="D296" s="1" t="s">
        <v>1466</v>
      </c>
      <c r="E296" s="1" t="s">
        <v>1467</v>
      </c>
      <c r="F296" s="1" t="s">
        <v>1468</v>
      </c>
      <c r="G296" s="1" t="str">
        <f t="array" ref="G296:G297">IF(ISBLANK(B296:B1089), "", XLOOKUP(B296:B1089, Sheet1!A296:A455, Sheet1!C296:C455, "Category Not Found", 0))</f>
        <v>#REF!</v>
      </c>
    </row>
    <row r="297">
      <c r="A297" s="1"/>
      <c r="B297" s="1" t="s">
        <v>1469</v>
      </c>
      <c r="C297" s="1" t="s">
        <v>1455</v>
      </c>
      <c r="D297" s="1" t="s">
        <v>1470</v>
      </c>
      <c r="E297" s="1" t="s">
        <v>1471</v>
      </c>
      <c r="F297" s="1" t="s">
        <v>1472</v>
      </c>
      <c r="G297" s="1" t="str">
        <f t="array" ref="G297:G298">IF(ISBLANK(B297:B1090), "", XLOOKUP(B297:B1090, Sheet1!A297:A456, Sheet1!C297:C456, "Category Not Found", 0))</f>
        <v>#REF!</v>
      </c>
    </row>
    <row r="298">
      <c r="A298" s="1"/>
      <c r="B298" s="1" t="s">
        <v>1473</v>
      </c>
      <c r="C298" s="1" t="s">
        <v>1474</v>
      </c>
      <c r="D298" s="1" t="s">
        <v>1475</v>
      </c>
      <c r="E298" s="1" t="s">
        <v>1476</v>
      </c>
      <c r="F298" s="1" t="s">
        <v>1477</v>
      </c>
      <c r="G298" s="1" t="str">
        <f t="array" ref="G298:G299">IF(ISBLANK(B298:B1091), "", XLOOKUP(B298:B1091, Sheet1!A298:A457, Sheet1!C298:C457, "Category Not Found", 0))</f>
        <v>#REF!</v>
      </c>
    </row>
    <row r="299">
      <c r="A299" s="1"/>
      <c r="B299" s="1" t="s">
        <v>1478</v>
      </c>
      <c r="C299" s="1" t="s">
        <v>1479</v>
      </c>
      <c r="D299" s="1" t="s">
        <v>1480</v>
      </c>
      <c r="E299" s="1" t="s">
        <v>1481</v>
      </c>
      <c r="F299" s="1" t="s">
        <v>1482</v>
      </c>
      <c r="G299" s="1" t="str">
        <f t="array" ref="G299:G300">IF(ISBLANK(B299:B1092), "", XLOOKUP(B299:B1092, Sheet1!A299:A458, Sheet1!C299:C458, "Category Not Found", 0))</f>
        <v>#REF!</v>
      </c>
    </row>
    <row r="300">
      <c r="A300" s="1"/>
      <c r="B300" s="1" t="s">
        <v>1483</v>
      </c>
      <c r="C300" s="1" t="s">
        <v>1484</v>
      </c>
      <c r="D300" s="1" t="s">
        <v>1485</v>
      </c>
      <c r="E300" s="1" t="s">
        <v>1486</v>
      </c>
      <c r="F300" s="1" t="s">
        <v>1487</v>
      </c>
      <c r="G300" s="1" t="str">
        <f t="array" ref="G300:G301">IF(ISBLANK(B300:B1093), "", XLOOKUP(B300:B1093, Sheet1!A300:A459, Sheet1!C300:C459, "Category Not Found", 0))</f>
        <v>#REF!</v>
      </c>
    </row>
    <row r="301">
      <c r="A301" s="1"/>
      <c r="B301" s="1" t="s">
        <v>1488</v>
      </c>
      <c r="C301" s="1" t="s">
        <v>1489</v>
      </c>
      <c r="D301" s="1" t="s">
        <v>1490</v>
      </c>
      <c r="E301" s="1" t="s">
        <v>1491</v>
      </c>
      <c r="F301" s="1" t="s">
        <v>1492</v>
      </c>
      <c r="G301" s="1" t="str">
        <f t="array" ref="G301:G302">IF(ISBLANK(B301:B1094), "", XLOOKUP(B301:B1094, Sheet1!A301:A460, Sheet1!C301:C460, "Category Not Found", 0))</f>
        <v>#REF!</v>
      </c>
    </row>
    <row r="302">
      <c r="A302" s="1"/>
      <c r="B302" s="1" t="s">
        <v>1493</v>
      </c>
      <c r="C302" s="1" t="s">
        <v>1494</v>
      </c>
      <c r="D302" s="1" t="s">
        <v>1495</v>
      </c>
      <c r="E302" s="1" t="s">
        <v>1496</v>
      </c>
      <c r="F302" s="1" t="s">
        <v>1497</v>
      </c>
      <c r="G302" s="1" t="str">
        <f t="array" ref="G302:G303">IF(ISBLANK(B302:B1095), "", XLOOKUP(B302:B1095, Sheet1!A302:A461, Sheet1!C302:C461, "Category Not Found", 0))</f>
        <v>#REF!</v>
      </c>
    </row>
    <row r="303">
      <c r="A303" s="1"/>
      <c r="B303" s="1" t="s">
        <v>1498</v>
      </c>
      <c r="C303" s="1" t="s">
        <v>1499</v>
      </c>
      <c r="D303" s="1" t="s">
        <v>1500</v>
      </c>
      <c r="E303" s="1" t="s">
        <v>1501</v>
      </c>
      <c r="F303" s="1" t="s">
        <v>1502</v>
      </c>
      <c r="G303" s="1" t="str">
        <f t="array" ref="G303:G304">IF(ISBLANK(B303:B1096), "", XLOOKUP(B303:B1096, Sheet1!A303:A462, Sheet1!C303:C462, "Category Not Found", 0))</f>
        <v>#REF!</v>
      </c>
    </row>
    <row r="304">
      <c r="A304" s="1"/>
      <c r="B304" s="1" t="s">
        <v>1503</v>
      </c>
      <c r="C304" s="1" t="s">
        <v>1504</v>
      </c>
      <c r="D304" s="1" t="s">
        <v>1505</v>
      </c>
      <c r="E304" s="1" t="s">
        <v>1506</v>
      </c>
      <c r="F304" s="1" t="s">
        <v>1507</v>
      </c>
      <c r="G304" s="1" t="str">
        <f t="array" ref="G304:G305">IF(ISBLANK(B304:B1097), "", XLOOKUP(B304:B1097, Sheet1!A304:A463, Sheet1!C304:C463, "Category Not Found", 0))</f>
        <v>#REF!</v>
      </c>
    </row>
    <row r="305">
      <c r="A305" s="1"/>
      <c r="B305" s="1" t="s">
        <v>1508</v>
      </c>
      <c r="C305" s="1" t="s">
        <v>1509</v>
      </c>
      <c r="D305" s="1" t="s">
        <v>1510</v>
      </c>
      <c r="E305" s="1" t="s">
        <v>1511</v>
      </c>
      <c r="F305" s="1" t="s">
        <v>1512</v>
      </c>
      <c r="G305" s="1" t="str">
        <f t="array" ref="G305:G306">IF(ISBLANK(B305:B1098), "", XLOOKUP(B305:B1098, Sheet1!A305:A464, Sheet1!C305:C464, "Category Not Found", 0))</f>
        <v>#REF!</v>
      </c>
    </row>
    <row r="306">
      <c r="A306" s="1"/>
      <c r="B306" s="1" t="s">
        <v>1513</v>
      </c>
      <c r="C306" s="1" t="s">
        <v>1514</v>
      </c>
      <c r="D306" s="1" t="s">
        <v>1515</v>
      </c>
      <c r="E306" s="1" t="s">
        <v>1516</v>
      </c>
      <c r="F306" s="1" t="s">
        <v>1517</v>
      </c>
      <c r="G306" s="1" t="str">
        <f t="array" ref="G306:G307">IF(ISBLANK(B306:B1099), "", XLOOKUP(B306:B1099, Sheet1!A306:A465, Sheet1!C306:C465, "Category Not Found", 0))</f>
        <v>#REF!</v>
      </c>
    </row>
    <row r="307">
      <c r="A307" s="1"/>
      <c r="B307" s="1" t="s">
        <v>1518</v>
      </c>
      <c r="C307" s="1" t="s">
        <v>1519</v>
      </c>
      <c r="D307" s="1" t="s">
        <v>1520</v>
      </c>
      <c r="E307" s="1" t="s">
        <v>1521</v>
      </c>
      <c r="F307" s="1" t="s">
        <v>1522</v>
      </c>
      <c r="G307" s="1" t="str">
        <f t="array" ref="G307:G308">IF(ISBLANK(B307:B1100), "", XLOOKUP(B307:B1100, Sheet1!A307:A466, Sheet1!C307:C466, "Category Not Found", 0))</f>
        <v>#REF!</v>
      </c>
    </row>
    <row r="308">
      <c r="A308" s="1"/>
      <c r="B308" s="1" t="s">
        <v>1523</v>
      </c>
      <c r="C308" s="1" t="s">
        <v>1524</v>
      </c>
      <c r="D308" s="1" t="s">
        <v>1525</v>
      </c>
      <c r="E308" s="1" t="s">
        <v>1526</v>
      </c>
      <c r="F308" s="1" t="s">
        <v>1527</v>
      </c>
      <c r="G308" s="1" t="str">
        <f t="array" ref="G308:G309">IF(ISBLANK(B308:B1101), "", XLOOKUP(B308:B1101, Sheet1!A308:A467, Sheet1!C308:C467, "Category Not Found", 0))</f>
        <v>#REF!</v>
      </c>
    </row>
    <row r="309">
      <c r="A309" s="1"/>
      <c r="B309" s="1" t="s">
        <v>1528</v>
      </c>
      <c r="C309" s="1" t="s">
        <v>1529</v>
      </c>
      <c r="D309" s="1" t="s">
        <v>1530</v>
      </c>
      <c r="E309" s="1" t="s">
        <v>1531</v>
      </c>
      <c r="F309" s="1" t="s">
        <v>1532</v>
      </c>
      <c r="G309" s="1" t="str">
        <f t="array" ref="G309:G310">IF(ISBLANK(B309:B1102), "", XLOOKUP(B309:B1102, Sheet1!A309:A468, Sheet1!C309:C468, "Category Not Found", 0))</f>
        <v>#REF!</v>
      </c>
    </row>
    <row r="310">
      <c r="A310" s="1"/>
      <c r="B310" s="1" t="s">
        <v>1533</v>
      </c>
      <c r="C310" s="1" t="s">
        <v>1534</v>
      </c>
      <c r="D310" s="1" t="s">
        <v>1535</v>
      </c>
      <c r="E310" s="1" t="s">
        <v>1536</v>
      </c>
      <c r="F310" s="1" t="s">
        <v>1537</v>
      </c>
      <c r="G310" s="1" t="str">
        <f t="array" ref="G310:G311">IF(ISBLANK(B310:B1103), "", XLOOKUP(B310:B1103, Sheet1!A310:A469, Sheet1!C310:C469, "Category Not Found", 0))</f>
        <v>#REF!</v>
      </c>
    </row>
    <row r="311">
      <c r="A311" s="1"/>
      <c r="B311" s="1" t="s">
        <v>1538</v>
      </c>
      <c r="C311" s="1" t="s">
        <v>1539</v>
      </c>
      <c r="D311" s="1" t="s">
        <v>1540</v>
      </c>
      <c r="E311" s="1" t="s">
        <v>1541</v>
      </c>
      <c r="F311" s="1" t="s">
        <v>1542</v>
      </c>
      <c r="G311" s="1" t="str">
        <f t="array" ref="G311:G312">IF(ISBLANK(B311:B1104), "", XLOOKUP(B311:B1104, Sheet1!A311:A470, Sheet1!C311:C470, "Category Not Found", 0))</f>
        <v>#REF!</v>
      </c>
    </row>
    <row r="312">
      <c r="A312" s="1"/>
      <c r="B312" s="1" t="s">
        <v>1543</v>
      </c>
      <c r="C312" s="1" t="s">
        <v>1544</v>
      </c>
      <c r="D312" s="1" t="s">
        <v>1545</v>
      </c>
      <c r="E312" s="1" t="s">
        <v>1546</v>
      </c>
      <c r="F312" s="1" t="s">
        <v>1547</v>
      </c>
      <c r="G312" s="1" t="str">
        <f t="array" ref="G312:G313">IF(ISBLANK(B312:B1105), "", XLOOKUP(B312:B1105, Sheet1!A312:A471, Sheet1!C312:C471, "Category Not Found", 0))</f>
        <v>#REF!</v>
      </c>
    </row>
    <row r="313">
      <c r="A313" s="1"/>
      <c r="B313" s="1" t="s">
        <v>1548</v>
      </c>
      <c r="C313" s="1" t="s">
        <v>1549</v>
      </c>
      <c r="D313" s="1" t="s">
        <v>1550</v>
      </c>
      <c r="E313" s="1" t="s">
        <v>1551</v>
      </c>
      <c r="F313" s="1" t="s">
        <v>1552</v>
      </c>
      <c r="G313" s="1" t="str">
        <f t="array" ref="G313:G314">IF(ISBLANK(B313:B1106), "", XLOOKUP(B313:B1106, Sheet1!A313:A472, Sheet1!C313:C472, "Category Not Found", 0))</f>
        <v>#REF!</v>
      </c>
    </row>
    <row r="314">
      <c r="A314" s="1"/>
      <c r="B314" s="1" t="s">
        <v>1553</v>
      </c>
      <c r="C314" s="1" t="s">
        <v>1554</v>
      </c>
      <c r="D314" s="1" t="s">
        <v>1555</v>
      </c>
      <c r="E314" s="1" t="s">
        <v>1556</v>
      </c>
      <c r="F314" s="1" t="s">
        <v>1557</v>
      </c>
      <c r="G314" s="1" t="str">
        <f t="array" ref="G314:G315">IF(ISBLANK(B314:B1107), "", XLOOKUP(B314:B1107, Sheet1!A314:A473, Sheet1!C314:C473, "Category Not Found", 0))</f>
        <v>#REF!</v>
      </c>
    </row>
    <row r="315">
      <c r="A315" s="1"/>
      <c r="B315" s="1" t="s">
        <v>1558</v>
      </c>
      <c r="C315" s="1" t="s">
        <v>1559</v>
      </c>
      <c r="D315" s="1" t="s">
        <v>1560</v>
      </c>
      <c r="E315" s="1" t="s">
        <v>1561</v>
      </c>
      <c r="F315" s="1" t="s">
        <v>1562</v>
      </c>
      <c r="G315" s="1" t="str">
        <f t="array" ref="G315:G316">IF(ISBLANK(B315:B1108), "", XLOOKUP(B315:B1108, Sheet1!A315:A474, Sheet1!C315:C474, "Category Not Found", 0))</f>
        <v>#REF!</v>
      </c>
    </row>
    <row r="316">
      <c r="A316" s="1"/>
      <c r="B316" s="1" t="s">
        <v>1563</v>
      </c>
      <c r="C316" s="1" t="s">
        <v>1564</v>
      </c>
      <c r="D316" s="1" t="s">
        <v>1565</v>
      </c>
      <c r="E316" s="1" t="s">
        <v>1566</v>
      </c>
      <c r="F316" s="1" t="s">
        <v>1567</v>
      </c>
      <c r="G316" s="1" t="str">
        <f t="array" ref="G316:G317">IF(ISBLANK(B316:B1109), "", XLOOKUP(B316:B1109, Sheet1!A316:A475, Sheet1!C316:C475, "Category Not Found", 0))</f>
        <v>#REF!</v>
      </c>
    </row>
    <row r="317">
      <c r="A317" s="1"/>
      <c r="B317" s="1" t="s">
        <v>1568</v>
      </c>
      <c r="C317" s="1" t="s">
        <v>1569</v>
      </c>
      <c r="D317" s="1" t="s">
        <v>1570</v>
      </c>
      <c r="E317" s="1" t="s">
        <v>1571</v>
      </c>
      <c r="F317" s="1" t="s">
        <v>1572</v>
      </c>
      <c r="G317" s="1" t="str">
        <f t="array" ref="G317:G318">IF(ISBLANK(B317:B1110), "", XLOOKUP(B317:B1110, Sheet1!A317:A476, Sheet1!C317:C476, "Category Not Found", 0))</f>
        <v>#REF!</v>
      </c>
    </row>
    <row r="318">
      <c r="A318" s="1"/>
      <c r="B318" s="1" t="s">
        <v>1573</v>
      </c>
      <c r="C318" s="1" t="s">
        <v>1574</v>
      </c>
      <c r="D318" s="1" t="s">
        <v>1575</v>
      </c>
      <c r="E318" s="1" t="s">
        <v>1576</v>
      </c>
      <c r="F318" s="1" t="s">
        <v>1577</v>
      </c>
      <c r="G318" s="1" t="str">
        <f t="array" ref="G318:G319">IF(ISBLANK(B318:B1111), "", XLOOKUP(B318:B1111, Sheet1!A318:A477, Sheet1!C318:C477, "Category Not Found", 0))</f>
        <v>#REF!</v>
      </c>
    </row>
    <row r="319">
      <c r="A319" s="1"/>
      <c r="B319" s="1" t="s">
        <v>1578</v>
      </c>
      <c r="C319" s="1" t="s">
        <v>1579</v>
      </c>
      <c r="D319" s="1" t="s">
        <v>1580</v>
      </c>
      <c r="E319" s="1" t="s">
        <v>1581</v>
      </c>
      <c r="F319" s="1" t="s">
        <v>1582</v>
      </c>
      <c r="G319" s="1" t="str">
        <f t="array" ref="G319:G320">IF(ISBLANK(B319:B1112), "", XLOOKUP(B319:B1112, Sheet1!A319:A478, Sheet1!C319:C478, "Category Not Found", 0))</f>
        <v>#REF!</v>
      </c>
    </row>
    <row r="320">
      <c r="A320" s="1"/>
      <c r="B320" s="1" t="s">
        <v>1583</v>
      </c>
      <c r="C320" s="1" t="s">
        <v>1584</v>
      </c>
      <c r="D320" s="1" t="s">
        <v>1585</v>
      </c>
      <c r="E320" s="1" t="s">
        <v>1586</v>
      </c>
      <c r="F320" s="1" t="s">
        <v>1587</v>
      </c>
      <c r="G320" s="1" t="str">
        <f t="array" ref="G320:G321">IF(ISBLANK(B320:B1113), "", XLOOKUP(B320:B1113, Sheet1!A320:A479, Sheet1!C320:C479, "Category Not Found", 0))</f>
        <v>#REF!</v>
      </c>
    </row>
    <row r="321">
      <c r="A321" s="1"/>
      <c r="B321" s="1" t="s">
        <v>1588</v>
      </c>
      <c r="C321" s="1" t="s">
        <v>1589</v>
      </c>
      <c r="D321" s="1" t="s">
        <v>1590</v>
      </c>
      <c r="E321" s="1" t="s">
        <v>1591</v>
      </c>
      <c r="F321" s="1" t="s">
        <v>1592</v>
      </c>
      <c r="G321" s="1" t="str">
        <f t="array" ref="G321:G322">IF(ISBLANK(B321:B1114), "", XLOOKUP(B321:B1114, Sheet1!A321:A480, Sheet1!C321:C480, "Category Not Found", 0))</f>
        <v>#REF!</v>
      </c>
    </row>
    <row r="322">
      <c r="A322" s="1"/>
      <c r="B322" s="1" t="s">
        <v>1593</v>
      </c>
      <c r="C322" s="1" t="s">
        <v>1594</v>
      </c>
      <c r="D322" s="1" t="s">
        <v>1595</v>
      </c>
      <c r="E322" s="1" t="s">
        <v>1596</v>
      </c>
      <c r="F322" s="1" t="s">
        <v>1597</v>
      </c>
      <c r="G322" s="1" t="str">
        <f t="array" ref="G322:G323">IF(ISBLANK(B322:B1115), "", XLOOKUP(B322:B1115, Sheet1!A322:A481, Sheet1!C322:C481, "Category Not Found", 0))</f>
        <v>#REF!</v>
      </c>
    </row>
    <row r="323">
      <c r="A323" s="1"/>
      <c r="B323" s="1" t="s">
        <v>1598</v>
      </c>
      <c r="C323" s="1" t="s">
        <v>1599</v>
      </c>
      <c r="D323" s="1" t="s">
        <v>1600</v>
      </c>
      <c r="E323" s="1" t="s">
        <v>1601</v>
      </c>
      <c r="F323" s="1" t="s">
        <v>1602</v>
      </c>
      <c r="G323" s="1" t="str">
        <f t="array" ref="G323:G324">IF(ISBLANK(B323:B1116), "", XLOOKUP(B323:B1116, Sheet1!A323:A482, Sheet1!C323:C482, "Category Not Found", 0))</f>
        <v>#REF!</v>
      </c>
    </row>
    <row r="324">
      <c r="A324" s="1"/>
      <c r="B324" s="1" t="s">
        <v>1603</v>
      </c>
      <c r="C324" s="1" t="s">
        <v>1604</v>
      </c>
      <c r="D324" s="1" t="s">
        <v>1605</v>
      </c>
      <c r="E324" s="1" t="s">
        <v>1606</v>
      </c>
      <c r="F324" s="1" t="s">
        <v>1607</v>
      </c>
      <c r="G324" s="1" t="str">
        <f t="array" ref="G324:G325">IF(ISBLANK(B324:B1117), "", XLOOKUP(B324:B1117, Sheet1!A324:A483, Sheet1!C324:C483, "Category Not Found", 0))</f>
        <v>#REF!</v>
      </c>
    </row>
    <row r="325">
      <c r="A325" s="1"/>
      <c r="B325" s="1" t="s">
        <v>1608</v>
      </c>
      <c r="C325" s="1" t="s">
        <v>1609</v>
      </c>
      <c r="D325" s="1" t="s">
        <v>1610</v>
      </c>
      <c r="E325" s="1" t="s">
        <v>1611</v>
      </c>
      <c r="F325" s="1" t="s">
        <v>1612</v>
      </c>
      <c r="G325" s="1" t="str">
        <f t="array" ref="G325:G326">IF(ISBLANK(B325:B1118), "", XLOOKUP(B325:B1118, Sheet1!A325:A484, Sheet1!C325:C484, "Category Not Found", 0))</f>
        <v>#REF!</v>
      </c>
    </row>
    <row r="326">
      <c r="A326" s="1"/>
      <c r="B326" s="1" t="s">
        <v>1613</v>
      </c>
      <c r="C326" s="1" t="s">
        <v>1614</v>
      </c>
      <c r="D326" s="1" t="s">
        <v>1615</v>
      </c>
      <c r="E326" s="1" t="s">
        <v>1616</v>
      </c>
      <c r="F326" s="1" t="s">
        <v>1617</v>
      </c>
      <c r="G326" s="1" t="str">
        <f t="array" ref="G326:G327">IF(ISBLANK(B326:B1119), "", XLOOKUP(B326:B1119, Sheet1!A326:A485, Sheet1!C326:C485, "Category Not Found", 0))</f>
        <v>#REF!</v>
      </c>
    </row>
    <row r="327">
      <c r="A327" s="1"/>
      <c r="B327" s="1" t="s">
        <v>1618</v>
      </c>
      <c r="C327" s="1" t="s">
        <v>1619</v>
      </c>
      <c r="D327" s="1" t="s">
        <v>1620</v>
      </c>
      <c r="E327" s="1" t="s">
        <v>1621</v>
      </c>
      <c r="F327" s="1" t="s">
        <v>1622</v>
      </c>
      <c r="G327" s="1" t="str">
        <f t="array" ref="G327:G328">IF(ISBLANK(B327:B1120), "", XLOOKUP(B327:B1120, Sheet1!A327:A486, Sheet1!C327:C486, "Category Not Found", 0))</f>
        <v>#REF!</v>
      </c>
    </row>
    <row r="328">
      <c r="A328" s="1"/>
      <c r="B328" s="1" t="s">
        <v>1623</v>
      </c>
      <c r="C328" s="1" t="s">
        <v>1624</v>
      </c>
      <c r="D328" s="1" t="s">
        <v>1625</v>
      </c>
      <c r="E328" s="1" t="s">
        <v>1626</v>
      </c>
      <c r="F328" s="1" t="s">
        <v>1627</v>
      </c>
      <c r="G328" s="1" t="str">
        <f t="array" ref="G328:G329">IF(ISBLANK(B328:B1121), "", XLOOKUP(B328:B1121, Sheet1!A328:A487, Sheet1!C328:C487, "Category Not Found", 0))</f>
        <v>#REF!</v>
      </c>
    </row>
    <row r="329">
      <c r="A329" s="1"/>
      <c r="B329" s="1" t="s">
        <v>1628</v>
      </c>
      <c r="C329" s="1" t="s">
        <v>1629</v>
      </c>
      <c r="D329" s="1" t="s">
        <v>1630</v>
      </c>
      <c r="E329" s="1" t="s">
        <v>1631</v>
      </c>
      <c r="F329" s="1" t="s">
        <v>1632</v>
      </c>
      <c r="G329" s="1" t="str">
        <f t="array" ref="G329:G330">IF(ISBLANK(B329:B1122), "", XLOOKUP(B329:B1122, Sheet1!A329:A488, Sheet1!C329:C488, "Category Not Found", 0))</f>
        <v>#REF!</v>
      </c>
    </row>
    <row r="330">
      <c r="A330" s="1"/>
      <c r="B330" s="1" t="s">
        <v>1633</v>
      </c>
      <c r="C330" s="1" t="s">
        <v>1634</v>
      </c>
      <c r="D330" s="1" t="s">
        <v>1635</v>
      </c>
      <c r="E330" s="1" t="s">
        <v>1636</v>
      </c>
      <c r="F330" s="1" t="s">
        <v>1637</v>
      </c>
      <c r="G330" s="1" t="str">
        <f t="array" ref="G330:G331">IF(ISBLANK(B330:B1123), "", XLOOKUP(B330:B1123, Sheet1!A330:A489, Sheet1!C330:C489, "Category Not Found", 0))</f>
        <v>#REF!</v>
      </c>
    </row>
    <row r="331">
      <c r="A331" s="1"/>
      <c r="B331" s="1" t="s">
        <v>1638</v>
      </c>
      <c r="C331" s="1" t="s">
        <v>1639</v>
      </c>
      <c r="D331" s="1" t="s">
        <v>1640</v>
      </c>
      <c r="E331" s="1" t="s">
        <v>1641</v>
      </c>
      <c r="F331" s="1" t="s">
        <v>1642</v>
      </c>
      <c r="G331" s="1" t="str">
        <f t="array" ref="G331:G332">IF(ISBLANK(B331:B1124), "", XLOOKUP(B331:B1124, Sheet1!A331:A490, Sheet1!C331:C490, "Category Not Found", 0))</f>
        <v>#REF!</v>
      </c>
    </row>
    <row r="332">
      <c r="A332" s="1"/>
      <c r="B332" s="1" t="s">
        <v>1643</v>
      </c>
      <c r="C332" s="1" t="s">
        <v>1644</v>
      </c>
      <c r="D332" s="1" t="s">
        <v>1645</v>
      </c>
      <c r="E332" s="1" t="s">
        <v>1646</v>
      </c>
      <c r="F332" s="1" t="s">
        <v>1647</v>
      </c>
      <c r="G332" s="1" t="str">
        <f t="array" ref="G332:G333">IF(ISBLANK(B332:B1125), "", XLOOKUP(B332:B1125, Sheet1!A332:A491, Sheet1!C332:C491, "Category Not Found", 0))</f>
        <v>#REF!</v>
      </c>
    </row>
    <row r="333">
      <c r="A333" s="1"/>
      <c r="B333" s="1" t="s">
        <v>1648</v>
      </c>
      <c r="C333" s="1" t="s">
        <v>1649</v>
      </c>
      <c r="D333" s="1" t="s">
        <v>1650</v>
      </c>
      <c r="E333" s="1" t="s">
        <v>1651</v>
      </c>
      <c r="F333" s="1" t="s">
        <v>1652</v>
      </c>
      <c r="G333" s="1" t="str">
        <f t="array" ref="G333:G334">IF(ISBLANK(B333:B1126), "", XLOOKUP(B333:B1126, Sheet1!A333:A492, Sheet1!C333:C492, "Category Not Found", 0))</f>
        <v>#REF!</v>
      </c>
    </row>
    <row r="334">
      <c r="A334" s="1"/>
      <c r="B334" s="1" t="s">
        <v>1653</v>
      </c>
      <c r="C334" s="1" t="s">
        <v>1654</v>
      </c>
      <c r="D334" s="1" t="s">
        <v>1655</v>
      </c>
      <c r="E334" s="1" t="s">
        <v>1656</v>
      </c>
      <c r="F334" s="1" t="s">
        <v>1657</v>
      </c>
      <c r="G334" s="1" t="str">
        <f t="array" ref="G334:G335">IF(ISBLANK(B334:B1127), "", XLOOKUP(B334:B1127, Sheet1!A334:A493, Sheet1!C334:C493, "Category Not Found", 0))</f>
        <v>#REF!</v>
      </c>
    </row>
    <row r="335">
      <c r="A335" s="1"/>
      <c r="B335" s="1" t="s">
        <v>1658</v>
      </c>
      <c r="C335" s="1" t="s">
        <v>1659</v>
      </c>
      <c r="D335" s="1" t="s">
        <v>1660</v>
      </c>
      <c r="E335" s="1" t="s">
        <v>1661</v>
      </c>
      <c r="F335" s="1" t="s">
        <v>1662</v>
      </c>
      <c r="G335" s="1" t="str">
        <f t="array" ref="G335:G336">IF(ISBLANK(B335:B1128), "", XLOOKUP(B335:B1128, Sheet1!A335:A494, Sheet1!C335:C494, "Category Not Found", 0))</f>
        <v>#REF!</v>
      </c>
    </row>
    <row r="336">
      <c r="A336" s="1"/>
      <c r="B336" s="1" t="s">
        <v>1663</v>
      </c>
      <c r="C336" s="1" t="s">
        <v>1664</v>
      </c>
      <c r="D336" s="1" t="s">
        <v>1665</v>
      </c>
      <c r="E336" s="1" t="s">
        <v>1666</v>
      </c>
      <c r="F336" s="1" t="s">
        <v>1667</v>
      </c>
      <c r="G336" s="1" t="str">
        <f t="array" ref="G336:G337">IF(ISBLANK(B336:B1129), "", XLOOKUP(B336:B1129, Sheet1!A336:A495, Sheet1!C336:C495, "Category Not Found", 0))</f>
        <v>#REF!</v>
      </c>
    </row>
    <row r="337">
      <c r="A337" s="1"/>
      <c r="B337" s="1" t="s">
        <v>1668</v>
      </c>
      <c r="C337" s="1" t="s">
        <v>1669</v>
      </c>
      <c r="D337" s="1" t="s">
        <v>1670</v>
      </c>
      <c r="E337" s="1" t="s">
        <v>1671</v>
      </c>
      <c r="F337" s="1" t="s">
        <v>1672</v>
      </c>
      <c r="G337" s="1" t="str">
        <f t="array" ref="G337:G338">IF(ISBLANK(B337:B1130), "", XLOOKUP(B337:B1130, Sheet1!A337:A496, Sheet1!C337:C496, "Category Not Found", 0))</f>
        <v>#REF!</v>
      </c>
    </row>
    <row r="338">
      <c r="A338" s="1"/>
      <c r="B338" s="1" t="s">
        <v>1673</v>
      </c>
      <c r="C338" s="1" t="s">
        <v>1674</v>
      </c>
      <c r="D338" s="1" t="s">
        <v>1675</v>
      </c>
      <c r="E338" s="1" t="s">
        <v>1676</v>
      </c>
      <c r="F338" s="1" t="s">
        <v>1677</v>
      </c>
      <c r="G338" s="1" t="str">
        <f t="array" ref="G338:G339">IF(ISBLANK(B338:B1131), "", XLOOKUP(B338:B1131, Sheet1!A338:A497, Sheet1!C338:C497, "Category Not Found", 0))</f>
        <v>#REF!</v>
      </c>
    </row>
    <row r="339">
      <c r="A339" s="1"/>
      <c r="B339" s="1" t="s">
        <v>1678</v>
      </c>
      <c r="C339" s="1" t="s">
        <v>1679</v>
      </c>
      <c r="D339" s="1" t="s">
        <v>1680</v>
      </c>
      <c r="E339" s="1" t="s">
        <v>1681</v>
      </c>
      <c r="F339" s="1" t="s">
        <v>1682</v>
      </c>
      <c r="G339" s="1" t="str">
        <f t="array" ref="G339:G340">IF(ISBLANK(B339:B1132), "", XLOOKUP(B339:B1132, Sheet1!A339:A498, Sheet1!C339:C498, "Category Not Found", 0))</f>
        <v>#REF!</v>
      </c>
    </row>
    <row r="340">
      <c r="A340" s="1"/>
      <c r="B340" s="1" t="s">
        <v>1683</v>
      </c>
      <c r="C340" s="1" t="s">
        <v>1684</v>
      </c>
      <c r="D340" s="1" t="s">
        <v>1685</v>
      </c>
      <c r="E340" s="1" t="s">
        <v>1686</v>
      </c>
      <c r="F340" s="1" t="s">
        <v>1687</v>
      </c>
      <c r="G340" s="1" t="str">
        <f t="array" ref="G340:G341">IF(ISBLANK(B340:B1133), "", XLOOKUP(B340:B1133, Sheet1!A340:A499, Sheet1!C340:C499, "Category Not Found", 0))</f>
        <v>#REF!</v>
      </c>
    </row>
    <row r="341">
      <c r="A341" s="1"/>
      <c r="B341" s="1" t="s">
        <v>1688</v>
      </c>
      <c r="C341" s="1" t="s">
        <v>1689</v>
      </c>
      <c r="D341" s="1" t="s">
        <v>1690</v>
      </c>
      <c r="E341" s="1" t="s">
        <v>1691</v>
      </c>
      <c r="F341" s="1" t="s">
        <v>1692</v>
      </c>
      <c r="G341" s="1" t="str">
        <f t="array" ref="G341:G342">IF(ISBLANK(B341:B1134), "", XLOOKUP(B341:B1134, Sheet1!A341:A500, Sheet1!C341:C500, "Category Not Found", 0))</f>
        <v>#REF!</v>
      </c>
    </row>
    <row r="342">
      <c r="A342" s="1"/>
      <c r="B342" s="1" t="s">
        <v>1693</v>
      </c>
      <c r="C342" s="1" t="s">
        <v>1694</v>
      </c>
      <c r="D342" s="1" t="s">
        <v>1695</v>
      </c>
      <c r="E342" s="1" t="s">
        <v>1696</v>
      </c>
      <c r="F342" s="1" t="s">
        <v>1697</v>
      </c>
      <c r="G342" s="1" t="str">
        <f t="array" ref="G342:G343">IF(ISBLANK(B342:B1135), "", XLOOKUP(B342:B1135, Sheet1!A342:A501, Sheet1!C342:C501, "Category Not Found", 0))</f>
        <v>#REF!</v>
      </c>
    </row>
    <row r="343">
      <c r="A343" s="1"/>
      <c r="B343" s="1" t="s">
        <v>1698</v>
      </c>
      <c r="C343" s="1" t="s">
        <v>1699</v>
      </c>
      <c r="D343" s="1" t="s">
        <v>1700</v>
      </c>
      <c r="E343" s="1" t="s">
        <v>1701</v>
      </c>
      <c r="F343" s="1" t="s">
        <v>1702</v>
      </c>
      <c r="G343" s="1" t="str">
        <f t="array" ref="G343:G344">IF(ISBLANK(B343:B1136), "", XLOOKUP(B343:B1136, Sheet1!A343:A502, Sheet1!C343:C502, "Category Not Found", 0))</f>
        <v>#REF!</v>
      </c>
    </row>
    <row r="344">
      <c r="A344" s="1"/>
      <c r="B344" s="1" t="s">
        <v>1703</v>
      </c>
      <c r="C344" s="1" t="s">
        <v>1704</v>
      </c>
      <c r="D344" s="1" t="s">
        <v>1705</v>
      </c>
      <c r="E344" s="1" t="s">
        <v>1706</v>
      </c>
      <c r="F344" s="1" t="s">
        <v>1707</v>
      </c>
      <c r="G344" s="1" t="str">
        <f t="array" ref="G344:G345">IF(ISBLANK(B344:B1137), "", XLOOKUP(B344:B1137, Sheet1!A344:A503, Sheet1!C344:C503, "Category Not Found", 0))</f>
        <v>#REF!</v>
      </c>
    </row>
    <row r="345">
      <c r="A345" s="1"/>
      <c r="B345" s="1" t="s">
        <v>1708</v>
      </c>
      <c r="C345" s="1" t="s">
        <v>1709</v>
      </c>
      <c r="D345" s="1" t="s">
        <v>1710</v>
      </c>
      <c r="E345" s="1" t="s">
        <v>1711</v>
      </c>
      <c r="F345" s="1" t="s">
        <v>1712</v>
      </c>
      <c r="G345" s="1" t="str">
        <f t="array" ref="G345:G346">IF(ISBLANK(B345:B1138), "", XLOOKUP(B345:B1138, Sheet1!A345:A504, Sheet1!C345:C504, "Category Not Found", 0))</f>
        <v>#REF!</v>
      </c>
    </row>
    <row r="346">
      <c r="A346" s="1"/>
      <c r="B346" s="1" t="s">
        <v>1713</v>
      </c>
      <c r="C346" s="1" t="s">
        <v>1714</v>
      </c>
      <c r="D346" s="1" t="s">
        <v>1715</v>
      </c>
      <c r="E346" s="1" t="s">
        <v>1716</v>
      </c>
      <c r="F346" s="1" t="s">
        <v>1717</v>
      </c>
      <c r="G346" s="1" t="str">
        <f t="array" ref="G346:G347">IF(ISBLANK(B346:B1139), "", XLOOKUP(B346:B1139, Sheet1!A346:A505, Sheet1!C346:C505, "Category Not Found", 0))</f>
        <v>#REF!</v>
      </c>
    </row>
    <row r="347">
      <c r="A347" s="1"/>
      <c r="B347" s="1" t="s">
        <v>1718</v>
      </c>
      <c r="C347" s="1" t="s">
        <v>1719</v>
      </c>
      <c r="D347" s="1" t="s">
        <v>1720</v>
      </c>
      <c r="E347" s="1" t="s">
        <v>1721</v>
      </c>
      <c r="F347" s="1" t="s">
        <v>1722</v>
      </c>
      <c r="G347" s="1" t="str">
        <f t="array" ref="G347:G348">IF(ISBLANK(B347:B1140), "", XLOOKUP(B347:B1140, Sheet1!A347:A506, Sheet1!C347:C506, "Category Not Found", 0))</f>
        <v>#REF!</v>
      </c>
    </row>
    <row r="348">
      <c r="A348" s="1"/>
      <c r="B348" s="1" t="s">
        <v>1723</v>
      </c>
      <c r="C348" s="1" t="s">
        <v>1724</v>
      </c>
      <c r="D348" s="1" t="s">
        <v>1725</v>
      </c>
      <c r="E348" s="1" t="s">
        <v>1726</v>
      </c>
      <c r="F348" s="1" t="s">
        <v>1727</v>
      </c>
      <c r="G348" s="1" t="str">
        <f t="array" ref="G348:G349">IF(ISBLANK(B348:B1141), "", XLOOKUP(B348:B1141, Sheet1!A348:A507, Sheet1!C348:C507, "Category Not Found", 0))</f>
        <v>#REF!</v>
      </c>
    </row>
    <row r="349">
      <c r="A349" s="1"/>
      <c r="B349" s="1" t="s">
        <v>1728</v>
      </c>
      <c r="C349" s="1" t="s">
        <v>1729</v>
      </c>
      <c r="D349" s="1" t="s">
        <v>1730</v>
      </c>
      <c r="E349" s="1" t="s">
        <v>1731</v>
      </c>
      <c r="F349" s="1" t="s">
        <v>1732</v>
      </c>
      <c r="G349" s="1" t="str">
        <f t="array" ref="G349:G350">IF(ISBLANK(B349:B1142), "", XLOOKUP(B349:B1142, Sheet1!A349:A508, Sheet1!C349:C508, "Category Not Found", 0))</f>
        <v>#REF!</v>
      </c>
    </row>
    <row r="350">
      <c r="A350" s="1"/>
      <c r="B350" s="1" t="s">
        <v>1733</v>
      </c>
      <c r="C350" s="1" t="s">
        <v>1734</v>
      </c>
      <c r="D350" s="1" t="s">
        <v>1660</v>
      </c>
      <c r="E350" s="1" t="s">
        <v>1735</v>
      </c>
      <c r="F350" s="1" t="s">
        <v>1736</v>
      </c>
      <c r="G350" s="1" t="str">
        <f t="array" ref="G350:G351">IF(ISBLANK(B350:B1143), "", XLOOKUP(B350:B1143, Sheet1!A350:A509, Sheet1!C350:C509, "Category Not Found", 0))</f>
        <v>#REF!</v>
      </c>
    </row>
    <row r="351">
      <c r="A351" s="1"/>
      <c r="B351" s="1" t="s">
        <v>1737</v>
      </c>
      <c r="C351" s="1" t="s">
        <v>1738</v>
      </c>
      <c r="D351" s="1" t="s">
        <v>1739</v>
      </c>
      <c r="E351" s="1" t="s">
        <v>1740</v>
      </c>
      <c r="F351" s="1" t="s">
        <v>1741</v>
      </c>
      <c r="G351" s="1" t="str">
        <f t="array" ref="G351:G352">IF(ISBLANK(B351:B1144), "", XLOOKUP(B351:B1144, Sheet1!A351:A510, Sheet1!C351:C510, "Category Not Found", 0))</f>
        <v>#REF!</v>
      </c>
    </row>
    <row r="352">
      <c r="A352" s="1"/>
      <c r="B352" s="1" t="s">
        <v>1742</v>
      </c>
      <c r="C352" s="1" t="s">
        <v>1743</v>
      </c>
      <c r="D352" s="1" t="s">
        <v>1744</v>
      </c>
      <c r="E352" s="1" t="s">
        <v>1745</v>
      </c>
      <c r="F352" s="1" t="s">
        <v>1746</v>
      </c>
      <c r="G352" s="1" t="str">
        <f t="array" ref="G352:G353">IF(ISBLANK(B352:B1145), "", XLOOKUP(B352:B1145, Sheet1!A352:A511, Sheet1!C352:C511, "Category Not Found", 0))</f>
        <v>#REF!</v>
      </c>
    </row>
    <row r="353">
      <c r="A353" s="1"/>
      <c r="B353" s="1" t="s">
        <v>1747</v>
      </c>
      <c r="C353" s="1" t="s">
        <v>1748</v>
      </c>
      <c r="D353" s="1" t="s">
        <v>1749</v>
      </c>
      <c r="E353" s="1" t="s">
        <v>1750</v>
      </c>
      <c r="F353" s="1" t="s">
        <v>1751</v>
      </c>
      <c r="G353" s="1" t="str">
        <f t="array" ref="G353:G354">IF(ISBLANK(B353:B1146), "", XLOOKUP(B353:B1146, Sheet1!A353:A512, Sheet1!C353:C512, "Category Not Found", 0))</f>
        <v>#REF!</v>
      </c>
    </row>
    <row r="354">
      <c r="A354" s="1"/>
      <c r="B354" s="1" t="s">
        <v>1752</v>
      </c>
      <c r="C354" s="1" t="s">
        <v>1753</v>
      </c>
      <c r="D354" s="1" t="s">
        <v>1754</v>
      </c>
      <c r="E354" s="1" t="s">
        <v>1755</v>
      </c>
      <c r="F354" s="1" t="s">
        <v>1756</v>
      </c>
      <c r="G354" s="1" t="str">
        <f t="array" ref="G354:G355">IF(ISBLANK(B354:B1147), "", XLOOKUP(B354:B1147, Sheet1!A354:A513, Sheet1!C354:C513, "Category Not Found", 0))</f>
        <v>#REF!</v>
      </c>
    </row>
    <row r="355">
      <c r="A355" s="1"/>
      <c r="B355" s="1" t="s">
        <v>1757</v>
      </c>
      <c r="C355" s="1" t="s">
        <v>1758</v>
      </c>
      <c r="D355" s="1" t="s">
        <v>1759</v>
      </c>
      <c r="E355" s="1" t="s">
        <v>1760</v>
      </c>
      <c r="F355" s="1" t="s">
        <v>1761</v>
      </c>
      <c r="G355" s="1" t="str">
        <f t="array" ref="G355:G356">IF(ISBLANK(B355:B1148), "", XLOOKUP(B355:B1148, Sheet1!A355:A514, Sheet1!C355:C514, "Category Not Found", 0))</f>
        <v>#REF!</v>
      </c>
    </row>
    <row r="356">
      <c r="A356" s="1"/>
      <c r="B356" s="1" t="s">
        <v>1762</v>
      </c>
      <c r="C356" s="1" t="s">
        <v>1763</v>
      </c>
      <c r="D356" s="1" t="s">
        <v>1764</v>
      </c>
      <c r="E356" s="1" t="s">
        <v>1765</v>
      </c>
      <c r="F356" s="1" t="s">
        <v>1766</v>
      </c>
      <c r="G356" s="1" t="str">
        <f t="array" ref="G356:G357">IF(ISBLANK(B356:B1149), "", XLOOKUP(B356:B1149, Sheet1!A356:A515, Sheet1!C356:C515, "Category Not Found", 0))</f>
        <v>#REF!</v>
      </c>
    </row>
    <row r="357">
      <c r="A357" s="1"/>
      <c r="B357" s="1" t="s">
        <v>1767</v>
      </c>
      <c r="C357" s="1" t="s">
        <v>1768</v>
      </c>
      <c r="D357" s="1" t="s">
        <v>1769</v>
      </c>
      <c r="E357" s="1" t="s">
        <v>1770</v>
      </c>
      <c r="F357" s="1" t="s">
        <v>1771</v>
      </c>
      <c r="G357" s="1" t="str">
        <f t="array" ref="G357:G358">IF(ISBLANK(B357:B1150), "", XLOOKUP(B357:B1150, Sheet1!A357:A516, Sheet1!C357:C516, "Category Not Found", 0))</f>
        <v>#REF!</v>
      </c>
    </row>
    <row r="358">
      <c r="A358" s="1"/>
      <c r="B358" s="1" t="s">
        <v>1772</v>
      </c>
      <c r="C358" s="1" t="s">
        <v>1773</v>
      </c>
      <c r="D358" s="1" t="s">
        <v>1774</v>
      </c>
      <c r="E358" s="1" t="s">
        <v>1775</v>
      </c>
      <c r="F358" s="1" t="s">
        <v>1776</v>
      </c>
      <c r="G358" s="1" t="str">
        <f t="array" ref="G358:G359">IF(ISBLANK(B358:B1151), "", XLOOKUP(B358:B1151, Sheet1!A358:A517, Sheet1!C358:C517, "Category Not Found", 0))</f>
        <v>#REF!</v>
      </c>
    </row>
    <row r="359">
      <c r="A359" s="1"/>
      <c r="B359" s="1" t="s">
        <v>1777</v>
      </c>
      <c r="C359" s="1" t="s">
        <v>1778</v>
      </c>
      <c r="D359" s="1" t="s">
        <v>1779</v>
      </c>
      <c r="E359" s="1" t="s">
        <v>1780</v>
      </c>
      <c r="F359" s="1" t="s">
        <v>1781</v>
      </c>
      <c r="G359" s="1" t="str">
        <f t="array" ref="G359:G360">IF(ISBLANK(B359:B1152), "", XLOOKUP(B359:B1152, Sheet1!A359:A518, Sheet1!C359:C518, "Category Not Found", 0))</f>
        <v>#REF!</v>
      </c>
    </row>
    <row r="360">
      <c r="A360" s="1"/>
      <c r="B360" s="1" t="s">
        <v>1782</v>
      </c>
      <c r="C360" s="1" t="s">
        <v>1783</v>
      </c>
      <c r="D360" s="1" t="s">
        <v>1784</v>
      </c>
      <c r="E360" s="1" t="s">
        <v>1785</v>
      </c>
      <c r="F360" s="1" t="s">
        <v>1786</v>
      </c>
      <c r="G360" s="1" t="str">
        <f t="array" ref="G360:G361">IF(ISBLANK(B360:B1153), "", XLOOKUP(B360:B1153, Sheet1!A360:A519, Sheet1!C360:C519, "Category Not Found", 0))</f>
        <v>#REF!</v>
      </c>
    </row>
    <row r="361">
      <c r="A361" s="1"/>
      <c r="B361" s="1" t="s">
        <v>1787</v>
      </c>
      <c r="C361" s="1" t="s">
        <v>1788</v>
      </c>
      <c r="D361" s="1" t="s">
        <v>1789</v>
      </c>
      <c r="E361" s="1" t="s">
        <v>1790</v>
      </c>
      <c r="F361" s="1" t="s">
        <v>1791</v>
      </c>
      <c r="G361" s="1" t="str">
        <f t="array" ref="G361:G362">IF(ISBLANK(B361:B1154), "", XLOOKUP(B361:B1154, Sheet1!A361:A520, Sheet1!C361:C520, "Category Not Found", 0))</f>
        <v>#REF!</v>
      </c>
    </row>
    <row r="362">
      <c r="A362" s="1"/>
      <c r="B362" s="1" t="s">
        <v>1792</v>
      </c>
      <c r="C362" s="1" t="s">
        <v>1793</v>
      </c>
      <c r="D362" s="1" t="s">
        <v>1794</v>
      </c>
      <c r="E362" s="1" t="s">
        <v>1795</v>
      </c>
      <c r="F362" s="1" t="s">
        <v>1796</v>
      </c>
      <c r="G362" s="1" t="str">
        <f t="array" ref="G362:G363">IF(ISBLANK(B362:B1155), "", XLOOKUP(B362:B1155, Sheet1!A362:A521, Sheet1!C362:C521, "Category Not Found", 0))</f>
        <v>#REF!</v>
      </c>
    </row>
    <row r="363">
      <c r="A363" s="1"/>
      <c r="B363" s="1" t="s">
        <v>1797</v>
      </c>
      <c r="C363" s="1" t="s">
        <v>1798</v>
      </c>
      <c r="D363" s="1" t="s">
        <v>1799</v>
      </c>
      <c r="E363" s="1" t="s">
        <v>1800</v>
      </c>
      <c r="F363" s="1" t="s">
        <v>1801</v>
      </c>
      <c r="G363" s="1" t="str">
        <f t="array" ref="G363:G364">IF(ISBLANK(B363:B1156), "", XLOOKUP(B363:B1156, Sheet1!A363:A522, Sheet1!C363:C522, "Category Not Found", 0))</f>
        <v>#REF!</v>
      </c>
    </row>
    <row r="364">
      <c r="A364" s="1"/>
      <c r="B364" s="1" t="s">
        <v>1802</v>
      </c>
      <c r="C364" s="1" t="s">
        <v>1803</v>
      </c>
      <c r="D364" s="1" t="s">
        <v>1804</v>
      </c>
      <c r="E364" s="1" t="s">
        <v>1805</v>
      </c>
      <c r="F364" s="1" t="s">
        <v>1806</v>
      </c>
      <c r="G364" s="1" t="str">
        <f t="array" ref="G364:G365">IF(ISBLANK(B364:B1157), "", XLOOKUP(B364:B1157, Sheet1!A364:A523, Sheet1!C364:C523, "Category Not Found", 0))</f>
        <v>#REF!</v>
      </c>
    </row>
    <row r="365">
      <c r="A365" s="1"/>
      <c r="B365" s="1" t="s">
        <v>1807</v>
      </c>
      <c r="C365" s="1" t="s">
        <v>1808</v>
      </c>
      <c r="D365" s="1" t="s">
        <v>1809</v>
      </c>
      <c r="E365" s="1" t="s">
        <v>1810</v>
      </c>
      <c r="F365" s="1" t="s">
        <v>1811</v>
      </c>
      <c r="G365" s="1" t="str">
        <f t="array" ref="G365:G366">IF(ISBLANK(B365:B1158), "", XLOOKUP(B365:B1158, Sheet1!A365:A524, Sheet1!C365:C524, "Category Not Found", 0))</f>
        <v>#REF!</v>
      </c>
    </row>
    <row r="366">
      <c r="A366" s="1"/>
      <c r="B366" s="1" t="s">
        <v>1812</v>
      </c>
      <c r="C366" s="1" t="s">
        <v>1813</v>
      </c>
      <c r="D366" s="1" t="s">
        <v>1814</v>
      </c>
      <c r="E366" s="1" t="s">
        <v>1815</v>
      </c>
      <c r="F366" s="1" t="s">
        <v>1816</v>
      </c>
      <c r="G366" s="1" t="str">
        <f t="array" ref="G366:G367">IF(ISBLANK(B366:B1159), "", XLOOKUP(B366:B1159, Sheet1!A366:A525, Sheet1!C366:C525, "Category Not Found", 0))</f>
        <v>#REF!</v>
      </c>
    </row>
    <row r="367">
      <c r="A367" s="1"/>
      <c r="B367" s="1" t="s">
        <v>1817</v>
      </c>
      <c r="C367" s="1" t="s">
        <v>1818</v>
      </c>
      <c r="D367" s="1" t="s">
        <v>1819</v>
      </c>
      <c r="E367" s="1" t="s">
        <v>1820</v>
      </c>
      <c r="F367" s="1" t="s">
        <v>1821</v>
      </c>
      <c r="G367" s="1" t="str">
        <f t="array" ref="G367:G368">IF(ISBLANK(B367:B1160), "", XLOOKUP(B367:B1160, Sheet1!A367:A526, Sheet1!C367:C526, "Category Not Found", 0))</f>
        <v>#REF!</v>
      </c>
    </row>
    <row r="368">
      <c r="A368" s="1"/>
      <c r="B368" s="1" t="s">
        <v>1822</v>
      </c>
      <c r="C368" s="1" t="s">
        <v>1823</v>
      </c>
      <c r="D368" s="1" t="s">
        <v>1824</v>
      </c>
      <c r="E368" s="1" t="s">
        <v>1825</v>
      </c>
      <c r="F368" s="1" t="s">
        <v>1826</v>
      </c>
      <c r="G368" s="1" t="str">
        <f t="array" ref="G368:G369">IF(ISBLANK(B368:B1161), "", XLOOKUP(B368:B1161, Sheet1!A368:A527, Sheet1!C368:C527, "Category Not Found", 0))</f>
        <v>#REF!</v>
      </c>
    </row>
    <row r="369">
      <c r="A369" s="1"/>
      <c r="B369" s="1" t="s">
        <v>1827</v>
      </c>
      <c r="C369" s="1" t="s">
        <v>1828</v>
      </c>
      <c r="D369" s="1" t="s">
        <v>1829</v>
      </c>
      <c r="E369" s="1" t="s">
        <v>1830</v>
      </c>
      <c r="F369" s="1" t="s">
        <v>1831</v>
      </c>
      <c r="G369" s="1" t="str">
        <f t="array" ref="G369:G370">IF(ISBLANK(B369:B1162), "", XLOOKUP(B369:B1162, Sheet1!A369:A528, Sheet1!C369:C528, "Category Not Found", 0))</f>
        <v>#REF!</v>
      </c>
    </row>
    <row r="370">
      <c r="A370" s="1"/>
      <c r="B370" s="1" t="s">
        <v>1832</v>
      </c>
      <c r="C370" s="1" t="s">
        <v>1833</v>
      </c>
      <c r="D370" s="1" t="s">
        <v>1834</v>
      </c>
      <c r="E370" s="1" t="s">
        <v>1835</v>
      </c>
      <c r="F370" s="1" t="s">
        <v>1836</v>
      </c>
      <c r="G370" s="1" t="str">
        <f t="array" ref="G370:G371">IF(ISBLANK(B370:B1163), "", XLOOKUP(B370:B1163, Sheet1!A370:A529, Sheet1!C370:C529, "Category Not Found", 0))</f>
        <v>#REF!</v>
      </c>
    </row>
    <row r="371">
      <c r="A371" s="1"/>
      <c r="B371" s="1" t="s">
        <v>1837</v>
      </c>
      <c r="C371" s="1" t="s">
        <v>1838</v>
      </c>
      <c r="D371" s="1" t="s">
        <v>1839</v>
      </c>
      <c r="E371" s="1" t="s">
        <v>1840</v>
      </c>
      <c r="F371" s="1" t="s">
        <v>1841</v>
      </c>
      <c r="G371" s="1" t="str">
        <f t="array" ref="G371:G372">IF(ISBLANK(B371:B1164), "", XLOOKUP(B371:B1164, Sheet1!A371:A530, Sheet1!C371:C530, "Category Not Found", 0))</f>
        <v>#REF!</v>
      </c>
    </row>
    <row r="372">
      <c r="A372" s="1"/>
      <c r="B372" s="1" t="s">
        <v>1842</v>
      </c>
      <c r="C372" s="1" t="s">
        <v>1843</v>
      </c>
      <c r="D372" s="1" t="s">
        <v>1844</v>
      </c>
      <c r="E372" s="1" t="s">
        <v>1845</v>
      </c>
      <c r="F372" s="1" t="s">
        <v>1846</v>
      </c>
      <c r="G372" s="1" t="str">
        <f t="array" ref="G372:G373">IF(ISBLANK(B372:B1165), "", XLOOKUP(B372:B1165, Sheet1!A372:A531, Sheet1!C372:C531, "Category Not Found", 0))</f>
        <v>#REF!</v>
      </c>
    </row>
    <row r="373">
      <c r="A373" s="1"/>
      <c r="B373" s="1" t="s">
        <v>1847</v>
      </c>
      <c r="C373" s="1" t="s">
        <v>1848</v>
      </c>
      <c r="D373" s="1" t="s">
        <v>1849</v>
      </c>
      <c r="E373" s="1" t="s">
        <v>1850</v>
      </c>
      <c r="F373" s="1" t="s">
        <v>1851</v>
      </c>
      <c r="G373" s="1" t="str">
        <f t="array" ref="G373:G374">IF(ISBLANK(B373:B1166), "", XLOOKUP(B373:B1166, Sheet1!A373:A532, Sheet1!C373:C532, "Category Not Found", 0))</f>
        <v>#REF!</v>
      </c>
    </row>
    <row r="374">
      <c r="A374" s="1"/>
      <c r="B374" s="1" t="s">
        <v>1852</v>
      </c>
      <c r="C374" s="1" t="s">
        <v>1853</v>
      </c>
      <c r="D374" s="1" t="s">
        <v>1854</v>
      </c>
      <c r="E374" s="1" t="s">
        <v>1855</v>
      </c>
      <c r="F374" s="1" t="s">
        <v>1856</v>
      </c>
      <c r="G374" s="1" t="str">
        <f t="array" ref="G374:G375">IF(ISBLANK(B374:B1167), "", XLOOKUP(B374:B1167, Sheet1!A374:A533, Sheet1!C374:C533, "Category Not Found", 0))</f>
        <v>#REF!</v>
      </c>
    </row>
    <row r="375">
      <c r="A375" s="1"/>
      <c r="B375" s="1" t="s">
        <v>1857</v>
      </c>
      <c r="C375" s="1" t="s">
        <v>1858</v>
      </c>
      <c r="D375" s="1" t="s">
        <v>1859</v>
      </c>
      <c r="E375" s="1" t="s">
        <v>1860</v>
      </c>
      <c r="F375" s="1" t="s">
        <v>1861</v>
      </c>
      <c r="G375" s="1" t="str">
        <f t="array" ref="G375:G376">IF(ISBLANK(B375:B1168), "", XLOOKUP(B375:B1168, Sheet1!A375:A534, Sheet1!C375:C534, "Category Not Found", 0))</f>
        <v>#REF!</v>
      </c>
    </row>
    <row r="376">
      <c r="A376" s="1"/>
      <c r="B376" s="1" t="s">
        <v>1862</v>
      </c>
      <c r="C376" s="1" t="s">
        <v>1863</v>
      </c>
      <c r="D376" s="1" t="s">
        <v>1864</v>
      </c>
      <c r="E376" s="1" t="s">
        <v>1865</v>
      </c>
      <c r="F376" s="1" t="s">
        <v>1866</v>
      </c>
      <c r="G376" s="1" t="str">
        <f t="array" ref="G376:G377">IF(ISBLANK(B376:B1169), "", XLOOKUP(B376:B1169, Sheet1!A376:A535, Sheet1!C376:C535, "Category Not Found", 0))</f>
        <v>#REF!</v>
      </c>
    </row>
    <row r="377">
      <c r="A377" s="1"/>
      <c r="B377" s="1" t="s">
        <v>1867</v>
      </c>
      <c r="C377" s="1" t="s">
        <v>1868</v>
      </c>
      <c r="D377" s="1" t="s">
        <v>1869</v>
      </c>
      <c r="E377" s="1" t="s">
        <v>1870</v>
      </c>
      <c r="F377" s="1" t="s">
        <v>1871</v>
      </c>
      <c r="G377" s="1" t="str">
        <f t="array" ref="G377:G378">IF(ISBLANK(B377:B1170), "", XLOOKUP(B377:B1170, Sheet1!A377:A536, Sheet1!C377:C536, "Category Not Found", 0))</f>
        <v>#REF!</v>
      </c>
    </row>
    <row r="378">
      <c r="A378" s="1"/>
      <c r="B378" s="1" t="s">
        <v>1872</v>
      </c>
      <c r="C378" s="1" t="s">
        <v>1873</v>
      </c>
      <c r="D378" s="1" t="s">
        <v>1874</v>
      </c>
      <c r="E378" s="1" t="s">
        <v>1875</v>
      </c>
      <c r="F378" s="1" t="s">
        <v>1876</v>
      </c>
      <c r="G378" s="1" t="str">
        <f t="array" ref="G378:G379">IF(ISBLANK(B378:B1171), "", XLOOKUP(B378:B1171, Sheet1!A378:A537, Sheet1!C378:C537, "Category Not Found", 0))</f>
        <v>#REF!</v>
      </c>
    </row>
    <row r="379">
      <c r="A379" s="1"/>
      <c r="B379" s="1" t="s">
        <v>1877</v>
      </c>
      <c r="C379" s="1" t="s">
        <v>1878</v>
      </c>
      <c r="D379" s="1" t="s">
        <v>1879</v>
      </c>
      <c r="E379" s="1" t="s">
        <v>1880</v>
      </c>
      <c r="F379" s="1" t="s">
        <v>1881</v>
      </c>
      <c r="G379" s="1" t="str">
        <f t="array" ref="G379:G380">IF(ISBLANK(B379:B1172), "", XLOOKUP(B379:B1172, Sheet1!A379:A538, Sheet1!C379:C538, "Category Not Found", 0))</f>
        <v>#REF!</v>
      </c>
    </row>
    <row r="380">
      <c r="A380" s="1"/>
      <c r="B380" s="1" t="s">
        <v>1882</v>
      </c>
      <c r="C380" s="1" t="s">
        <v>1883</v>
      </c>
      <c r="D380" s="1" t="s">
        <v>1884</v>
      </c>
      <c r="E380" s="1" t="s">
        <v>1885</v>
      </c>
      <c r="F380" s="1" t="s">
        <v>1886</v>
      </c>
      <c r="G380" s="1" t="str">
        <f t="array" ref="G380:G381">IF(ISBLANK(B380:B1173), "", XLOOKUP(B380:B1173, Sheet1!A380:A539, Sheet1!C380:C539, "Category Not Found", 0))</f>
        <v>#REF!</v>
      </c>
    </row>
    <row r="381">
      <c r="A381" s="1"/>
      <c r="B381" s="1" t="s">
        <v>1887</v>
      </c>
      <c r="C381" s="1" t="s">
        <v>1888</v>
      </c>
      <c r="D381" s="1" t="s">
        <v>1889</v>
      </c>
      <c r="E381" s="1" t="s">
        <v>1890</v>
      </c>
      <c r="F381" s="1" t="s">
        <v>1891</v>
      </c>
      <c r="G381" s="1" t="str">
        <f t="array" ref="G381:G382">IF(ISBLANK(B381:B1174), "", XLOOKUP(B381:B1174, Sheet1!A381:A540, Sheet1!C381:C540, "Category Not Found", 0))</f>
        <v>#REF!</v>
      </c>
    </row>
    <row r="382">
      <c r="A382" s="1"/>
      <c r="B382" s="1" t="s">
        <v>1892</v>
      </c>
      <c r="C382" s="1" t="s">
        <v>1893</v>
      </c>
      <c r="D382" s="1" t="s">
        <v>1894</v>
      </c>
      <c r="E382" s="1" t="s">
        <v>1895</v>
      </c>
      <c r="F382" s="1" t="s">
        <v>1896</v>
      </c>
      <c r="G382" s="1" t="str">
        <f t="array" ref="G382:G383">IF(ISBLANK(B382:B1175), "", XLOOKUP(B382:B1175, Sheet1!A382:A541, Sheet1!C382:C541, "Category Not Found", 0))</f>
        <v>#REF!</v>
      </c>
    </row>
    <row r="383">
      <c r="A383" s="1"/>
      <c r="B383" s="1" t="s">
        <v>1897</v>
      </c>
      <c r="C383" s="1" t="s">
        <v>1898</v>
      </c>
      <c r="D383" s="1" t="s">
        <v>1899</v>
      </c>
      <c r="E383" s="1" t="s">
        <v>1900</v>
      </c>
      <c r="F383" s="1" t="s">
        <v>1901</v>
      </c>
      <c r="G383" s="1" t="str">
        <f t="array" ref="G383:G384">IF(ISBLANK(B383:B1176), "", XLOOKUP(B383:B1176, Sheet1!A383:A542, Sheet1!C383:C542, "Category Not Found", 0))</f>
        <v>#REF!</v>
      </c>
    </row>
    <row r="384">
      <c r="A384" s="1"/>
      <c r="B384" s="1" t="s">
        <v>1902</v>
      </c>
      <c r="C384" s="1" t="s">
        <v>1903</v>
      </c>
      <c r="D384" s="1" t="s">
        <v>1904</v>
      </c>
      <c r="E384" s="1" t="s">
        <v>1905</v>
      </c>
      <c r="F384" s="1" t="s">
        <v>1906</v>
      </c>
      <c r="G384" s="1" t="str">
        <f t="array" ref="G384:G385">IF(ISBLANK(B384:B1177), "", XLOOKUP(B384:B1177, Sheet1!A384:A543, Sheet1!C384:C543, "Category Not Found", 0))</f>
        <v>#REF!</v>
      </c>
    </row>
    <row r="385">
      <c r="A385" s="1"/>
      <c r="B385" s="1" t="s">
        <v>1907</v>
      </c>
      <c r="C385" s="1" t="s">
        <v>1908</v>
      </c>
      <c r="D385" s="1" t="s">
        <v>1909</v>
      </c>
      <c r="E385" s="1" t="s">
        <v>1910</v>
      </c>
      <c r="F385" s="1" t="s">
        <v>1911</v>
      </c>
      <c r="G385" s="1" t="str">
        <f t="array" ref="G385:G386">IF(ISBLANK(B385:B1178), "", XLOOKUP(B385:B1178, Sheet1!A385:A544, Sheet1!C385:C544, "Category Not Found", 0))</f>
        <v>#REF!</v>
      </c>
    </row>
    <row r="386">
      <c r="A386" s="1"/>
      <c r="B386" s="1" t="s">
        <v>1912</v>
      </c>
      <c r="C386" s="1" t="s">
        <v>1913</v>
      </c>
      <c r="D386" s="1" t="s">
        <v>1084</v>
      </c>
      <c r="E386" s="1" t="s">
        <v>1914</v>
      </c>
      <c r="F386" s="1" t="s">
        <v>1915</v>
      </c>
      <c r="G386" s="1" t="str">
        <f t="array" ref="G386:G387">IF(ISBLANK(B386:B1179), "", XLOOKUP(B386:B1179, Sheet1!A386:A545, Sheet1!C386:C545, "Category Not Found", 0))</f>
        <v>#REF!</v>
      </c>
    </row>
    <row r="387">
      <c r="A387" s="1"/>
      <c r="B387" s="1" t="s">
        <v>1916</v>
      </c>
      <c r="C387" s="1" t="s">
        <v>1917</v>
      </c>
      <c r="D387" s="1" t="s">
        <v>1918</v>
      </c>
      <c r="E387" s="1" t="s">
        <v>1919</v>
      </c>
      <c r="F387" s="1" t="s">
        <v>1920</v>
      </c>
      <c r="G387" s="1" t="str">
        <f t="array" ref="G387:G388">IF(ISBLANK(B387:B1180), "", XLOOKUP(B387:B1180, Sheet1!A387:A546, Sheet1!C387:C546, "Category Not Found", 0))</f>
        <v>#REF!</v>
      </c>
    </row>
    <row r="388">
      <c r="A388" s="1"/>
      <c r="B388" s="1" t="s">
        <v>1921</v>
      </c>
      <c r="C388" s="1" t="s">
        <v>1922</v>
      </c>
      <c r="D388" s="1" t="s">
        <v>1918</v>
      </c>
      <c r="E388" s="1" t="s">
        <v>1923</v>
      </c>
      <c r="F388" s="1" t="s">
        <v>1924</v>
      </c>
      <c r="G388" s="1" t="str">
        <f t="array" ref="G388:G389">IF(ISBLANK(B388:B1181), "", XLOOKUP(B388:B1181, Sheet1!A388:A547, Sheet1!C388:C547, "Category Not Found", 0))</f>
        <v>#REF!</v>
      </c>
    </row>
    <row r="389">
      <c r="A389" s="1"/>
      <c r="B389" s="1" t="s">
        <v>1925</v>
      </c>
      <c r="C389" s="1" t="s">
        <v>1926</v>
      </c>
      <c r="D389" s="1" t="s">
        <v>1927</v>
      </c>
      <c r="E389" s="1" t="s">
        <v>1928</v>
      </c>
      <c r="F389" s="1" t="s">
        <v>1929</v>
      </c>
      <c r="G389" s="1" t="str">
        <f t="array" ref="G389:G390">IF(ISBLANK(B389:B1182), "", XLOOKUP(B389:B1182, Sheet1!A389:A548, Sheet1!C389:C548, "Category Not Found", 0))</f>
        <v>#REF!</v>
      </c>
    </row>
    <row r="390">
      <c r="A390" s="1"/>
      <c r="B390" s="1" t="s">
        <v>1930</v>
      </c>
      <c r="C390" s="1" t="s">
        <v>1931</v>
      </c>
      <c r="D390" s="1" t="s">
        <v>1932</v>
      </c>
      <c r="E390" s="1" t="s">
        <v>1933</v>
      </c>
      <c r="F390" s="1" t="s">
        <v>1934</v>
      </c>
      <c r="G390" s="1" t="str">
        <f t="array" ref="G390:G391">IF(ISBLANK(B390:B1183), "", XLOOKUP(B390:B1183, Sheet1!A390:A549, Sheet1!C390:C549, "Category Not Found", 0))</f>
        <v>#REF!</v>
      </c>
    </row>
    <row r="391">
      <c r="A391" s="1"/>
      <c r="B391" s="1" t="s">
        <v>1935</v>
      </c>
      <c r="C391" s="1" t="s">
        <v>1936</v>
      </c>
      <c r="D391" s="1" t="s">
        <v>1937</v>
      </c>
      <c r="E391" s="1" t="s">
        <v>1938</v>
      </c>
      <c r="F391" s="1" t="s">
        <v>1939</v>
      </c>
      <c r="G391" s="1" t="str">
        <f t="array" ref="G391:G392">IF(ISBLANK(B391:B1184), "", XLOOKUP(B391:B1184, Sheet1!A391:A550, Sheet1!C391:C550, "Category Not Found", 0))</f>
        <v>#REF!</v>
      </c>
    </row>
    <row r="392">
      <c r="A392" s="1"/>
      <c r="B392" s="1" t="s">
        <v>1940</v>
      </c>
      <c r="C392" s="1" t="s">
        <v>1941</v>
      </c>
      <c r="D392" s="1" t="s">
        <v>1942</v>
      </c>
      <c r="E392" s="1" t="s">
        <v>1943</v>
      </c>
      <c r="F392" s="1" t="s">
        <v>1944</v>
      </c>
      <c r="G392" s="1" t="str">
        <f t="array" ref="G392:G393">IF(ISBLANK(B392:B1185), "", XLOOKUP(B392:B1185, Sheet1!A392:A551, Sheet1!C392:C551, "Category Not Found", 0))</f>
        <v>#REF!</v>
      </c>
    </row>
    <row r="393">
      <c r="A393" s="1"/>
      <c r="B393" s="1" t="s">
        <v>1945</v>
      </c>
      <c r="C393" s="1" t="s">
        <v>1946</v>
      </c>
      <c r="D393" s="1" t="s">
        <v>1947</v>
      </c>
      <c r="E393" s="1" t="s">
        <v>1948</v>
      </c>
      <c r="F393" s="1" t="s">
        <v>1949</v>
      </c>
      <c r="G393" s="1" t="str">
        <f t="array" ref="G393:G394">IF(ISBLANK(B393:B1186), "", XLOOKUP(B393:B1186, Sheet1!A393:A552, Sheet1!C393:C552, "Category Not Found", 0))</f>
        <v>#REF!</v>
      </c>
    </row>
    <row r="394">
      <c r="A394" s="1"/>
      <c r="B394" s="1" t="s">
        <v>1950</v>
      </c>
      <c r="C394" s="1" t="s">
        <v>1951</v>
      </c>
      <c r="D394" s="1" t="s">
        <v>1952</v>
      </c>
      <c r="E394" s="1" t="s">
        <v>1953</v>
      </c>
      <c r="F394" s="1" t="s">
        <v>1954</v>
      </c>
      <c r="G394" s="1" t="str">
        <f t="array" ref="G394:G395">IF(ISBLANK(B394:B1187), "", XLOOKUP(B394:B1187, Sheet1!A394:A553, Sheet1!C394:C553, "Category Not Found", 0))</f>
        <v>#REF!</v>
      </c>
    </row>
    <row r="395">
      <c r="A395" s="1"/>
      <c r="B395" s="1" t="s">
        <v>1955</v>
      </c>
      <c r="C395" s="1" t="s">
        <v>1956</v>
      </c>
      <c r="D395" s="1" t="s">
        <v>1957</v>
      </c>
      <c r="E395" s="1" t="s">
        <v>1958</v>
      </c>
      <c r="F395" s="1" t="s">
        <v>1959</v>
      </c>
      <c r="G395" s="1" t="str">
        <f t="array" ref="G395:G396">IF(ISBLANK(B395:B1188), "", XLOOKUP(B395:B1188, Sheet1!A395:A554, Sheet1!C395:C554, "Category Not Found", 0))</f>
        <v>#REF!</v>
      </c>
    </row>
    <row r="396">
      <c r="A396" s="1"/>
      <c r="B396" s="1" t="s">
        <v>1960</v>
      </c>
      <c r="C396" s="1" t="s">
        <v>1961</v>
      </c>
      <c r="D396" s="1" t="s">
        <v>1962</v>
      </c>
      <c r="E396" s="1" t="s">
        <v>1963</v>
      </c>
      <c r="F396" s="1" t="s">
        <v>1964</v>
      </c>
      <c r="G396" s="1" t="str">
        <f t="array" ref="G396:G397">IF(ISBLANK(B396:B1189), "", XLOOKUP(B396:B1189, Sheet1!A396:A555, Sheet1!C396:C555, "Category Not Found", 0))</f>
        <v>#REF!</v>
      </c>
    </row>
    <row r="397">
      <c r="A397" s="1"/>
      <c r="B397" s="1" t="s">
        <v>1965</v>
      </c>
      <c r="C397" s="1" t="s">
        <v>1966</v>
      </c>
      <c r="D397" s="1" t="s">
        <v>1967</v>
      </c>
      <c r="E397" s="1" t="s">
        <v>1968</v>
      </c>
      <c r="F397" s="1" t="s">
        <v>1969</v>
      </c>
      <c r="G397" s="1" t="str">
        <f t="array" ref="G397:G398">IF(ISBLANK(B397:B1190), "", XLOOKUP(B397:B1190, Sheet1!A397:A556, Sheet1!C397:C556, "Category Not Found", 0))</f>
        <v>#REF!</v>
      </c>
    </row>
    <row r="398">
      <c r="A398" s="1"/>
      <c r="B398" s="1" t="s">
        <v>1970</v>
      </c>
      <c r="C398" s="1" t="s">
        <v>1971</v>
      </c>
      <c r="D398" s="1" t="s">
        <v>1972</v>
      </c>
      <c r="E398" s="1" t="s">
        <v>1973</v>
      </c>
      <c r="F398" s="1" t="s">
        <v>1974</v>
      </c>
      <c r="G398" s="1" t="str">
        <f t="array" ref="G398:G399">IF(ISBLANK(B398:B1191), "", XLOOKUP(B398:B1191, Sheet1!A398:A557, Sheet1!C398:C557, "Category Not Found", 0))</f>
        <v>#REF!</v>
      </c>
    </row>
    <row r="399">
      <c r="A399" s="1"/>
      <c r="B399" s="1" t="s">
        <v>1975</v>
      </c>
      <c r="C399" s="1" t="s">
        <v>1976</v>
      </c>
      <c r="D399" s="1" t="s">
        <v>1977</v>
      </c>
      <c r="E399" s="1" t="s">
        <v>1978</v>
      </c>
      <c r="F399" s="1" t="s">
        <v>1979</v>
      </c>
      <c r="G399" s="1" t="str">
        <f t="array" ref="G399:G400">IF(ISBLANK(B399:B1192), "", XLOOKUP(B399:B1192, Sheet1!A399:A558, Sheet1!C399:C558, "Category Not Found", 0))</f>
        <v>#REF!</v>
      </c>
    </row>
    <row r="400">
      <c r="A400" s="1"/>
      <c r="B400" s="1" t="s">
        <v>1980</v>
      </c>
      <c r="C400" s="1" t="s">
        <v>1981</v>
      </c>
      <c r="D400" s="1" t="s">
        <v>1982</v>
      </c>
      <c r="E400" s="1" t="s">
        <v>1983</v>
      </c>
      <c r="F400" s="1" t="s">
        <v>1984</v>
      </c>
      <c r="G400" s="1" t="str">
        <f t="array" ref="G400:G401">IF(ISBLANK(B400:B1193), "", XLOOKUP(B400:B1193, Sheet1!A400:A559, Sheet1!C400:C559, "Category Not Found", 0))</f>
        <v>#REF!</v>
      </c>
    </row>
    <row r="401">
      <c r="A401" s="1"/>
      <c r="B401" s="1" t="s">
        <v>1985</v>
      </c>
      <c r="C401" s="1" t="s">
        <v>1986</v>
      </c>
      <c r="D401" s="1" t="s">
        <v>1987</v>
      </c>
      <c r="E401" s="1" t="s">
        <v>1988</v>
      </c>
      <c r="F401" s="1" t="s">
        <v>1989</v>
      </c>
      <c r="G401" s="1" t="str">
        <f t="array" ref="G401:G402">IF(ISBLANK(B401:B1194), "", XLOOKUP(B401:B1194, Sheet1!A401:A560, Sheet1!C401:C560, "Category Not Found", 0))</f>
        <v>#REF!</v>
      </c>
    </row>
    <row r="402">
      <c r="A402" s="1"/>
      <c r="B402" s="1" t="s">
        <v>1990</v>
      </c>
      <c r="C402" s="1" t="s">
        <v>1991</v>
      </c>
      <c r="D402" s="1" t="s">
        <v>1992</v>
      </c>
      <c r="E402" s="1" t="s">
        <v>1993</v>
      </c>
      <c r="F402" s="1" t="s">
        <v>1994</v>
      </c>
      <c r="G402" s="1" t="str">
        <f t="array" ref="G402:G403">IF(ISBLANK(B402:B1195), "", XLOOKUP(B402:B1195, Sheet1!A402:A561, Sheet1!C402:C561, "Category Not Found", 0))</f>
        <v>#REF!</v>
      </c>
    </row>
    <row r="403">
      <c r="A403" s="1"/>
      <c r="B403" s="1" t="s">
        <v>1995</v>
      </c>
      <c r="C403" s="1" t="s">
        <v>1996</v>
      </c>
      <c r="D403" s="1" t="s">
        <v>1997</v>
      </c>
      <c r="E403" s="1" t="s">
        <v>1998</v>
      </c>
      <c r="F403" s="1" t="s">
        <v>1999</v>
      </c>
      <c r="G403" s="1" t="str">
        <f t="array" ref="G403:G404">IF(ISBLANK(B403:B1196), "", XLOOKUP(B403:B1196, Sheet1!A403:A562, Sheet1!C403:C562, "Category Not Found", 0))</f>
        <v>#REF!</v>
      </c>
    </row>
    <row r="404">
      <c r="A404" s="1"/>
      <c r="B404" s="1" t="s">
        <v>2000</v>
      </c>
      <c r="C404" s="1" t="s">
        <v>2001</v>
      </c>
      <c r="D404" s="1" t="s">
        <v>2002</v>
      </c>
      <c r="E404" s="1" t="s">
        <v>2003</v>
      </c>
      <c r="F404" s="1" t="s">
        <v>2004</v>
      </c>
      <c r="G404" s="1" t="str">
        <f t="array" ref="G404:G405">IF(ISBLANK(B404:B1197), "", XLOOKUP(B404:B1197, Sheet1!A404:A563, Sheet1!C404:C563, "Category Not Found", 0))</f>
        <v>#REF!</v>
      </c>
    </row>
    <row r="405">
      <c r="A405" s="1"/>
      <c r="B405" s="1" t="s">
        <v>2005</v>
      </c>
      <c r="C405" s="1" t="s">
        <v>2006</v>
      </c>
      <c r="D405" s="1" t="s">
        <v>2007</v>
      </c>
      <c r="E405" s="1" t="s">
        <v>2008</v>
      </c>
      <c r="F405" s="1" t="s">
        <v>2009</v>
      </c>
      <c r="G405" s="1" t="str">
        <f t="array" ref="G405:G406">IF(ISBLANK(B405:B1198), "", XLOOKUP(B405:B1198, Sheet1!A405:A564, Sheet1!C405:C564, "Category Not Found", 0))</f>
        <v>#REF!</v>
      </c>
    </row>
    <row r="406">
      <c r="A406" s="1"/>
      <c r="B406" s="1" t="s">
        <v>2010</v>
      </c>
      <c r="C406" s="1" t="s">
        <v>2011</v>
      </c>
      <c r="D406" s="1" t="s">
        <v>1942</v>
      </c>
      <c r="E406" s="1" t="s">
        <v>2012</v>
      </c>
      <c r="F406" s="1" t="s">
        <v>2013</v>
      </c>
      <c r="G406" s="1" t="str">
        <f t="array" ref="G406:G407">IF(ISBLANK(B406:B1199), "", XLOOKUP(B406:B1199, Sheet1!A406:A565, Sheet1!C406:C565, "Category Not Found", 0))</f>
        <v>#REF!</v>
      </c>
    </row>
    <row r="407">
      <c r="A407" s="1"/>
      <c r="B407" s="1" t="s">
        <v>2014</v>
      </c>
      <c r="C407" s="1" t="s">
        <v>2015</v>
      </c>
      <c r="D407" s="1" t="s">
        <v>2016</v>
      </c>
      <c r="E407" s="1" t="s">
        <v>2017</v>
      </c>
      <c r="F407" s="1" t="s">
        <v>2018</v>
      </c>
      <c r="G407" s="1" t="str">
        <f t="array" ref="G407:G408">IF(ISBLANK(B407:B1200), "", XLOOKUP(B407:B1200, Sheet1!A407:A566, Sheet1!C407:C566, "Category Not Found", 0))</f>
        <v>#REF!</v>
      </c>
    </row>
    <row r="408">
      <c r="A408" s="1"/>
      <c r="B408" s="1" t="s">
        <v>2019</v>
      </c>
      <c r="C408" s="1" t="s">
        <v>2020</v>
      </c>
      <c r="D408" s="1" t="s">
        <v>1957</v>
      </c>
      <c r="E408" s="1" t="s">
        <v>1958</v>
      </c>
      <c r="F408" s="1" t="s">
        <v>1959</v>
      </c>
      <c r="G408" s="1" t="str">
        <f t="array" ref="G408:G409">IF(ISBLANK(B408:B1201), "", XLOOKUP(B408:B1201, Sheet1!A408:A567, Sheet1!C408:C567, "Category Not Found", 0))</f>
        <v>#REF!</v>
      </c>
    </row>
    <row r="409">
      <c r="A409" s="1"/>
      <c r="B409" s="1" t="s">
        <v>2021</v>
      </c>
      <c r="C409" s="1" t="s">
        <v>2022</v>
      </c>
      <c r="D409" s="1" t="s">
        <v>2023</v>
      </c>
      <c r="E409" s="1" t="s">
        <v>2024</v>
      </c>
      <c r="F409" s="1" t="s">
        <v>2025</v>
      </c>
      <c r="G409" s="1" t="str">
        <f t="array" ref="G409:G410">IF(ISBLANK(B409:B1202), "", XLOOKUP(B409:B1202, Sheet1!A409:A568, Sheet1!C409:C568, "Category Not Found", 0))</f>
        <v>#REF!</v>
      </c>
    </row>
    <row r="410">
      <c r="A410" s="1"/>
      <c r="B410" s="1" t="s">
        <v>2026</v>
      </c>
      <c r="C410" s="1" t="s">
        <v>2027</v>
      </c>
      <c r="D410" s="1" t="s">
        <v>2028</v>
      </c>
      <c r="E410" s="1" t="s">
        <v>2029</v>
      </c>
      <c r="F410" s="1" t="s">
        <v>2030</v>
      </c>
      <c r="G410" s="1" t="str">
        <f t="array" ref="G410:G411">IF(ISBLANK(B410:B1203), "", XLOOKUP(B410:B1203, Sheet1!A410:A569, Sheet1!C410:C569, "Category Not Found", 0))</f>
        <v>#REF!</v>
      </c>
    </row>
    <row r="411">
      <c r="A411" s="1"/>
      <c r="B411" s="1" t="s">
        <v>2031</v>
      </c>
      <c r="C411" s="1" t="s">
        <v>2032</v>
      </c>
      <c r="D411" s="1" t="s">
        <v>2033</v>
      </c>
      <c r="E411" s="1" t="s">
        <v>2034</v>
      </c>
      <c r="F411" s="1" t="s">
        <v>2035</v>
      </c>
      <c r="G411" s="1" t="str">
        <f t="array" ref="G411:G412">IF(ISBLANK(B411:B1204), "", XLOOKUP(B411:B1204, Sheet1!A411:A570, Sheet1!C411:C570, "Category Not Found", 0))</f>
        <v>#REF!</v>
      </c>
    </row>
    <row r="412">
      <c r="A412" s="1"/>
      <c r="B412" s="1" t="s">
        <v>2036</v>
      </c>
      <c r="C412" s="1" t="s">
        <v>2037</v>
      </c>
      <c r="D412" s="1" t="s">
        <v>2038</v>
      </c>
      <c r="E412" s="1" t="s">
        <v>2039</v>
      </c>
      <c r="F412" s="1" t="s">
        <v>2040</v>
      </c>
      <c r="G412" s="1" t="str">
        <f t="array" ref="G412:G413">IF(ISBLANK(B412:B1205), "", XLOOKUP(B412:B1205, Sheet1!A412:A571, Sheet1!C412:C571, "Category Not Found", 0))</f>
        <v>#REF!</v>
      </c>
    </row>
    <row r="413">
      <c r="A413" s="1"/>
      <c r="B413" s="1" t="s">
        <v>2041</v>
      </c>
      <c r="C413" s="1" t="s">
        <v>2042</v>
      </c>
      <c r="D413" s="1" t="s">
        <v>2043</v>
      </c>
      <c r="E413" s="1" t="s">
        <v>2044</v>
      </c>
      <c r="F413" s="1" t="s">
        <v>2045</v>
      </c>
      <c r="G413" s="1" t="str">
        <f t="array" ref="G413:G414">IF(ISBLANK(B413:B1206), "", XLOOKUP(B413:B1206, Sheet1!A413:A572, Sheet1!C413:C572, "Category Not Found", 0))</f>
        <v>#REF!</v>
      </c>
    </row>
    <row r="414">
      <c r="A414" s="1"/>
      <c r="B414" s="1" t="s">
        <v>2046</v>
      </c>
      <c r="C414" s="1" t="s">
        <v>2047</v>
      </c>
      <c r="D414" s="1" t="s">
        <v>2048</v>
      </c>
      <c r="E414" s="1" t="s">
        <v>2049</v>
      </c>
      <c r="F414" s="1" t="s">
        <v>2050</v>
      </c>
      <c r="G414" s="1" t="str">
        <f t="array" ref="G414:G415">IF(ISBLANK(B414:B1207), "", XLOOKUP(B414:B1207, Sheet1!A414:A573, Sheet1!C414:C573, "Category Not Found", 0))</f>
        <v>#REF!</v>
      </c>
    </row>
    <row r="415">
      <c r="A415" s="1"/>
      <c r="B415" s="1" t="s">
        <v>2051</v>
      </c>
      <c r="C415" s="1" t="s">
        <v>2052</v>
      </c>
      <c r="D415" s="1" t="s">
        <v>2053</v>
      </c>
      <c r="E415" s="1" t="s">
        <v>2054</v>
      </c>
      <c r="F415" s="1" t="s">
        <v>2055</v>
      </c>
      <c r="G415" s="1" t="str">
        <f t="array" ref="G415:G416">IF(ISBLANK(B415:B1208), "", XLOOKUP(B415:B1208, Sheet1!A415:A574, Sheet1!C415:C574, "Category Not Found", 0))</f>
        <v>#REF!</v>
      </c>
    </row>
    <row r="416">
      <c r="A416" s="1"/>
      <c r="B416" s="1" t="s">
        <v>2056</v>
      </c>
      <c r="C416" s="1" t="s">
        <v>2057</v>
      </c>
      <c r="D416" s="1" t="s">
        <v>2058</v>
      </c>
      <c r="E416" s="1" t="s">
        <v>2059</v>
      </c>
      <c r="F416" s="1" t="s">
        <v>2060</v>
      </c>
      <c r="G416" s="1" t="str">
        <f t="array" ref="G416:G417">IF(ISBLANK(B416:B1209), "", XLOOKUP(B416:B1209, Sheet1!A416:A575, Sheet1!C416:C575, "Category Not Found", 0))</f>
        <v>#REF!</v>
      </c>
    </row>
    <row r="417">
      <c r="A417" s="1"/>
      <c r="B417" s="1" t="s">
        <v>2061</v>
      </c>
      <c r="C417" s="1" t="s">
        <v>2062</v>
      </c>
      <c r="D417" s="1" t="s">
        <v>2063</v>
      </c>
      <c r="E417" s="1" t="s">
        <v>2064</v>
      </c>
      <c r="F417" s="1" t="s">
        <v>2065</v>
      </c>
      <c r="G417" s="1" t="str">
        <f t="array" ref="G417:G418">IF(ISBLANK(B417:B1210), "", XLOOKUP(B417:B1210, Sheet1!A417:A576, Sheet1!C417:C576, "Category Not Found", 0))</f>
        <v>#REF!</v>
      </c>
    </row>
    <row r="418">
      <c r="A418" s="1"/>
      <c r="B418" s="1" t="s">
        <v>2066</v>
      </c>
      <c r="C418" s="1" t="s">
        <v>2067</v>
      </c>
      <c r="D418" s="1" t="s">
        <v>2068</v>
      </c>
      <c r="E418" s="1" t="s">
        <v>2069</v>
      </c>
      <c r="F418" s="1" t="s">
        <v>2070</v>
      </c>
      <c r="G418" s="1" t="str">
        <f t="array" ref="G418:G419">IF(ISBLANK(B418:B1211), "", XLOOKUP(B418:B1211, Sheet1!A418:A577, Sheet1!C418:C577, "Category Not Found", 0))</f>
        <v>#REF!</v>
      </c>
    </row>
    <row r="419">
      <c r="A419" s="1"/>
      <c r="B419" s="1" t="s">
        <v>2071</v>
      </c>
      <c r="C419" s="1" t="s">
        <v>2072</v>
      </c>
      <c r="D419" s="1" t="s">
        <v>2073</v>
      </c>
      <c r="E419" s="1" t="s">
        <v>2074</v>
      </c>
      <c r="F419" s="1" t="s">
        <v>2075</v>
      </c>
      <c r="G419" s="1" t="str">
        <f t="array" ref="G419:G420">IF(ISBLANK(B419:B1212), "", XLOOKUP(B419:B1212, Sheet1!A419:A578, Sheet1!C419:C578, "Category Not Found", 0))</f>
        <v>#REF!</v>
      </c>
    </row>
    <row r="420">
      <c r="A420" s="1"/>
      <c r="B420" s="1" t="s">
        <v>2076</v>
      </c>
      <c r="C420" s="1" t="s">
        <v>2077</v>
      </c>
      <c r="D420" s="1" t="s">
        <v>2078</v>
      </c>
      <c r="E420" s="1" t="s">
        <v>2079</v>
      </c>
      <c r="F420" s="1" t="s">
        <v>2080</v>
      </c>
      <c r="G420" s="1" t="str">
        <f t="array" ref="G420:G421">IF(ISBLANK(B420:B1213), "", XLOOKUP(B420:B1213, Sheet1!A420:A579, Sheet1!C420:C579, "Category Not Found", 0))</f>
        <v>#REF!</v>
      </c>
    </row>
    <row r="421">
      <c r="A421" s="1"/>
      <c r="B421" s="1" t="s">
        <v>2081</v>
      </c>
      <c r="C421" s="1" t="s">
        <v>2082</v>
      </c>
      <c r="D421" s="1" t="s">
        <v>2083</v>
      </c>
      <c r="E421" s="1" t="s">
        <v>2084</v>
      </c>
      <c r="F421" s="1" t="s">
        <v>2085</v>
      </c>
      <c r="G421" s="1" t="str">
        <f t="array" ref="G421:G422">IF(ISBLANK(B421:B1214), "", XLOOKUP(B421:B1214, Sheet1!A421:A580, Sheet1!C421:C580, "Category Not Found", 0))</f>
        <v>#REF!</v>
      </c>
    </row>
    <row r="422">
      <c r="A422" s="1"/>
      <c r="B422" s="1" t="s">
        <v>2086</v>
      </c>
      <c r="C422" s="1" t="s">
        <v>2087</v>
      </c>
      <c r="D422" s="1" t="s">
        <v>2088</v>
      </c>
      <c r="E422" s="1" t="s">
        <v>2089</v>
      </c>
      <c r="F422" s="1" t="s">
        <v>2090</v>
      </c>
      <c r="G422" s="1" t="str">
        <f t="array" ref="G422:G423">IF(ISBLANK(B422:B1215), "", XLOOKUP(B422:B1215, Sheet1!A422:A581, Sheet1!C422:C581, "Category Not Found", 0))</f>
        <v>#REF!</v>
      </c>
    </row>
    <row r="423">
      <c r="A423" s="1"/>
      <c r="B423" s="1" t="s">
        <v>2091</v>
      </c>
      <c r="C423" s="1" t="s">
        <v>2092</v>
      </c>
      <c r="D423" s="1" t="s">
        <v>2093</v>
      </c>
      <c r="E423" s="1" t="s">
        <v>2094</v>
      </c>
      <c r="F423" s="1" t="s">
        <v>2095</v>
      </c>
      <c r="G423" s="1" t="str">
        <f t="array" ref="G423:G424">IF(ISBLANK(B423:B1216), "", XLOOKUP(B423:B1216, Sheet1!A423:A582, Sheet1!C423:C582, "Category Not Found", 0))</f>
        <v>#REF!</v>
      </c>
    </row>
    <row r="424">
      <c r="A424" s="1"/>
      <c r="B424" s="1" t="s">
        <v>2096</v>
      </c>
      <c r="C424" s="1" t="s">
        <v>2097</v>
      </c>
      <c r="D424" s="1" t="s">
        <v>2098</v>
      </c>
      <c r="E424" s="1" t="s">
        <v>2099</v>
      </c>
      <c r="F424" s="1" t="s">
        <v>2100</v>
      </c>
      <c r="G424" s="1" t="str">
        <f t="array" ref="G424:G425">IF(ISBLANK(B424:B1217), "", XLOOKUP(B424:B1217, Sheet1!A424:A583, Sheet1!C424:C583, "Category Not Found", 0))</f>
        <v>#REF!</v>
      </c>
    </row>
    <row r="425">
      <c r="A425" s="1"/>
      <c r="B425" s="1" t="s">
        <v>2101</v>
      </c>
      <c r="C425" s="1" t="s">
        <v>2102</v>
      </c>
      <c r="D425" s="1" t="s">
        <v>2103</v>
      </c>
      <c r="E425" s="1" t="s">
        <v>2104</v>
      </c>
      <c r="F425" s="1" t="s">
        <v>2105</v>
      </c>
      <c r="G425" s="1" t="str">
        <f t="array" ref="G425:G426">IF(ISBLANK(B425:B1218), "", XLOOKUP(B425:B1218, Sheet1!A425:A584, Sheet1!C425:C584, "Category Not Found", 0))</f>
        <v>#REF!</v>
      </c>
    </row>
    <row r="426">
      <c r="A426" s="1"/>
      <c r="B426" s="1" t="s">
        <v>2106</v>
      </c>
      <c r="C426" s="1" t="s">
        <v>2107</v>
      </c>
      <c r="D426" s="1" t="s">
        <v>2108</v>
      </c>
      <c r="E426" s="1" t="s">
        <v>2109</v>
      </c>
      <c r="F426" s="1" t="s">
        <v>2110</v>
      </c>
      <c r="G426" s="1" t="str">
        <f t="array" ref="G426:G427">IF(ISBLANK(B426:B1219), "", XLOOKUP(B426:B1219, Sheet1!A426:A585, Sheet1!C426:C585, "Category Not Found", 0))</f>
        <v>#REF!</v>
      </c>
    </row>
    <row r="427">
      <c r="A427" s="1"/>
      <c r="B427" s="1" t="s">
        <v>2111</v>
      </c>
      <c r="C427" s="1" t="s">
        <v>2112</v>
      </c>
      <c r="D427" s="1" t="s">
        <v>2113</v>
      </c>
      <c r="E427" s="1" t="s">
        <v>2114</v>
      </c>
      <c r="F427" s="1" t="s">
        <v>2115</v>
      </c>
      <c r="G427" s="1" t="str">
        <f t="array" ref="G427:G428">IF(ISBLANK(B427:B1220), "", XLOOKUP(B427:B1220, Sheet1!A427:A586, Sheet1!C427:C586, "Category Not Found", 0))</f>
        <v>#REF!</v>
      </c>
    </row>
    <row r="428">
      <c r="A428" s="1"/>
      <c r="B428" s="1" t="s">
        <v>2116</v>
      </c>
      <c r="C428" s="1" t="s">
        <v>2117</v>
      </c>
      <c r="D428" s="1" t="s">
        <v>2118</v>
      </c>
      <c r="E428" s="1" t="s">
        <v>2119</v>
      </c>
      <c r="F428" s="1" t="s">
        <v>2120</v>
      </c>
      <c r="G428" s="1" t="str">
        <f t="array" ref="G428:G429">IF(ISBLANK(B428:B1221), "", XLOOKUP(B428:B1221, Sheet1!A428:A587, Sheet1!C428:C587, "Category Not Found", 0))</f>
        <v>#REF!</v>
      </c>
    </row>
    <row r="429">
      <c r="A429" s="1"/>
      <c r="B429" s="1" t="s">
        <v>2121</v>
      </c>
      <c r="C429" s="1" t="s">
        <v>2122</v>
      </c>
      <c r="D429" s="1" t="s">
        <v>2123</v>
      </c>
      <c r="E429" s="1" t="s">
        <v>2124</v>
      </c>
      <c r="F429" s="1" t="s">
        <v>2125</v>
      </c>
      <c r="G429" s="1" t="str">
        <f t="array" ref="G429:G430">IF(ISBLANK(B429:B1222), "", XLOOKUP(B429:B1222, Sheet1!A429:A588, Sheet1!C429:C588, "Category Not Found", 0))</f>
        <v>#REF!</v>
      </c>
    </row>
    <row r="430">
      <c r="A430" s="1"/>
      <c r="B430" s="1" t="s">
        <v>2126</v>
      </c>
      <c r="C430" s="1" t="s">
        <v>2127</v>
      </c>
      <c r="D430" s="1" t="s">
        <v>2128</v>
      </c>
      <c r="E430" s="1" t="s">
        <v>2129</v>
      </c>
      <c r="F430" s="1" t="s">
        <v>2130</v>
      </c>
      <c r="G430" s="1" t="str">
        <f t="array" ref="G430:G431">IF(ISBLANK(B430:B1223), "", XLOOKUP(B430:B1223, Sheet1!A430:A589, Sheet1!C430:C589, "Category Not Found", 0))</f>
        <v>#REF!</v>
      </c>
    </row>
    <row r="431">
      <c r="A431" s="1"/>
      <c r="B431" s="1" t="s">
        <v>2131</v>
      </c>
      <c r="C431" s="1" t="s">
        <v>2132</v>
      </c>
      <c r="D431" s="1" t="s">
        <v>2133</v>
      </c>
      <c r="E431" s="1" t="s">
        <v>2134</v>
      </c>
      <c r="F431" s="1" t="s">
        <v>2135</v>
      </c>
      <c r="G431" s="1" t="str">
        <f t="array" ref="G431:G432">IF(ISBLANK(B431:B1224), "", XLOOKUP(B431:B1224, Sheet1!A431:A590, Sheet1!C431:C590, "Category Not Found", 0))</f>
        <v>#REF!</v>
      </c>
    </row>
    <row r="432">
      <c r="A432" s="1"/>
      <c r="B432" s="1" t="s">
        <v>2136</v>
      </c>
      <c r="C432" s="1" t="s">
        <v>2137</v>
      </c>
      <c r="D432" s="1" t="s">
        <v>2138</v>
      </c>
      <c r="E432" s="1" t="s">
        <v>2139</v>
      </c>
      <c r="F432" s="1" t="s">
        <v>2140</v>
      </c>
      <c r="G432" s="1" t="str">
        <f t="array" ref="G432:G433">IF(ISBLANK(B432:B1225), "", XLOOKUP(B432:B1225, Sheet1!A432:A591, Sheet1!C432:C591, "Category Not Found", 0))</f>
        <v>#REF!</v>
      </c>
    </row>
    <row r="433">
      <c r="A433" s="1"/>
      <c r="B433" s="1" t="s">
        <v>2141</v>
      </c>
      <c r="C433" s="1" t="s">
        <v>2142</v>
      </c>
      <c r="D433" s="1" t="s">
        <v>2143</v>
      </c>
      <c r="E433" s="1" t="s">
        <v>2144</v>
      </c>
      <c r="F433" s="1" t="s">
        <v>2145</v>
      </c>
      <c r="G433" s="1" t="str">
        <f t="array" ref="G433:G434">IF(ISBLANK(B433:B1226), "", XLOOKUP(B433:B1226, Sheet1!A433:A592, Sheet1!C433:C592, "Category Not Found", 0))</f>
        <v>#REF!</v>
      </c>
    </row>
    <row r="434">
      <c r="A434" s="1"/>
      <c r="B434" s="1" t="s">
        <v>2146</v>
      </c>
      <c r="C434" s="1" t="s">
        <v>2147</v>
      </c>
      <c r="D434" s="1" t="s">
        <v>2148</v>
      </c>
      <c r="E434" s="1" t="s">
        <v>2149</v>
      </c>
      <c r="F434" s="1" t="s">
        <v>2150</v>
      </c>
      <c r="G434" s="1" t="str">
        <f t="array" ref="G434:G435">IF(ISBLANK(B434:B1227), "", XLOOKUP(B434:B1227, Sheet1!A434:A593, Sheet1!C434:C593, "Category Not Found", 0))</f>
        <v>#REF!</v>
      </c>
    </row>
    <row r="435">
      <c r="A435" s="1"/>
      <c r="B435" s="1" t="s">
        <v>2151</v>
      </c>
      <c r="C435" s="1" t="s">
        <v>2152</v>
      </c>
      <c r="D435" s="1" t="s">
        <v>2153</v>
      </c>
      <c r="E435" s="1" t="s">
        <v>2154</v>
      </c>
      <c r="F435" s="1" t="s">
        <v>2155</v>
      </c>
      <c r="G435" s="1" t="str">
        <f t="array" ref="G435:G436">IF(ISBLANK(B435:B1228), "", XLOOKUP(B435:B1228, Sheet1!A435:A594, Sheet1!C435:C594, "Category Not Found", 0))</f>
        <v>#REF!</v>
      </c>
    </row>
    <row r="436">
      <c r="A436" s="1"/>
      <c r="B436" s="1" t="s">
        <v>2156</v>
      </c>
      <c r="C436" s="1" t="s">
        <v>2157</v>
      </c>
      <c r="D436" s="1" t="s">
        <v>2158</v>
      </c>
      <c r="E436" s="1" t="s">
        <v>2159</v>
      </c>
      <c r="F436" s="1" t="s">
        <v>2160</v>
      </c>
      <c r="G436" s="1" t="str">
        <f t="array" ref="G436:G437">IF(ISBLANK(B436:B1229), "", XLOOKUP(B436:B1229, Sheet1!A436:A595, Sheet1!C436:C595, "Category Not Found", 0))</f>
        <v>#REF!</v>
      </c>
    </row>
    <row r="437">
      <c r="A437" s="1"/>
      <c r="B437" s="1" t="s">
        <v>2161</v>
      </c>
      <c r="C437" s="1" t="s">
        <v>2162</v>
      </c>
      <c r="D437" s="1" t="s">
        <v>2163</v>
      </c>
      <c r="E437" s="1" t="s">
        <v>2164</v>
      </c>
      <c r="F437" s="1" t="s">
        <v>2165</v>
      </c>
      <c r="G437" s="1" t="str">
        <f t="array" ref="G437:G438">IF(ISBLANK(B437:B1230), "", XLOOKUP(B437:B1230, Sheet1!A437:A596, Sheet1!C437:C596, "Category Not Found", 0))</f>
        <v>#REF!</v>
      </c>
    </row>
    <row r="438">
      <c r="A438" s="1"/>
      <c r="B438" s="1" t="s">
        <v>2166</v>
      </c>
      <c r="C438" s="1" t="s">
        <v>2167</v>
      </c>
      <c r="D438" s="1" t="s">
        <v>2168</v>
      </c>
      <c r="E438" s="1" t="s">
        <v>2169</v>
      </c>
      <c r="F438" s="1" t="s">
        <v>2170</v>
      </c>
      <c r="G438" s="1" t="str">
        <f t="array" ref="G438:G439">IF(ISBLANK(B438:B1231), "", XLOOKUP(B438:B1231, Sheet1!A438:A597, Sheet1!C438:C597, "Category Not Found", 0))</f>
        <v>#REF!</v>
      </c>
    </row>
    <row r="439">
      <c r="A439" s="1"/>
      <c r="B439" s="1" t="s">
        <v>2171</v>
      </c>
      <c r="C439" s="1" t="s">
        <v>2172</v>
      </c>
      <c r="D439" s="1" t="s">
        <v>2173</v>
      </c>
      <c r="E439" s="1" t="s">
        <v>2174</v>
      </c>
      <c r="F439" s="1" t="s">
        <v>2175</v>
      </c>
      <c r="G439" s="1" t="str">
        <f t="array" ref="G439:G440">IF(ISBLANK(B439:B1232), "", XLOOKUP(B439:B1232, Sheet1!A439:A598, Sheet1!C439:C598, "Category Not Found", 0))</f>
        <v>#REF!</v>
      </c>
    </row>
    <row r="440">
      <c r="A440" s="1"/>
      <c r="B440" s="1" t="s">
        <v>2176</v>
      </c>
      <c r="C440" s="1" t="s">
        <v>2177</v>
      </c>
      <c r="D440" s="1" t="s">
        <v>2178</v>
      </c>
      <c r="E440" s="1" t="s">
        <v>2179</v>
      </c>
      <c r="F440" s="1" t="s">
        <v>2180</v>
      </c>
      <c r="G440" s="1" t="str">
        <f t="array" ref="G440:G441">IF(ISBLANK(B440:B1233), "", XLOOKUP(B440:B1233, Sheet1!A440:A599, Sheet1!C440:C599, "Category Not Found", 0))</f>
        <v>#REF!</v>
      </c>
    </row>
    <row r="441">
      <c r="A441" s="1"/>
      <c r="B441" s="1" t="s">
        <v>2181</v>
      </c>
      <c r="C441" s="1" t="s">
        <v>2182</v>
      </c>
      <c r="D441" s="1" t="s">
        <v>2183</v>
      </c>
      <c r="E441" s="1" t="s">
        <v>2184</v>
      </c>
      <c r="F441" s="1" t="s">
        <v>2185</v>
      </c>
      <c r="G441" s="1" t="str">
        <f t="array" ref="G441:G442">IF(ISBLANK(B441:B1234), "", XLOOKUP(B441:B1234, Sheet1!A441:A600, Sheet1!C441:C600, "Category Not Found", 0))</f>
        <v>#REF!</v>
      </c>
    </row>
    <row r="442">
      <c r="A442" s="1"/>
      <c r="B442" s="1" t="s">
        <v>2186</v>
      </c>
      <c r="C442" s="1" t="s">
        <v>2187</v>
      </c>
      <c r="D442" s="1" t="s">
        <v>2188</v>
      </c>
      <c r="E442" s="1" t="s">
        <v>2189</v>
      </c>
      <c r="F442" s="1" t="s">
        <v>2190</v>
      </c>
      <c r="G442" s="1" t="str">
        <f t="array" ref="G442:G443">IF(ISBLANK(B442:B1235), "", XLOOKUP(B442:B1235, Sheet1!A442:A601, Sheet1!C442:C601, "Category Not Found", 0))</f>
        <v>#REF!</v>
      </c>
    </row>
    <row r="443">
      <c r="A443" s="1"/>
      <c r="B443" s="1" t="s">
        <v>2191</v>
      </c>
      <c r="C443" s="1" t="s">
        <v>2192</v>
      </c>
      <c r="D443" s="1" t="s">
        <v>2193</v>
      </c>
      <c r="E443" s="1" t="s">
        <v>2194</v>
      </c>
      <c r="F443" s="1" t="s">
        <v>2195</v>
      </c>
      <c r="G443" s="1" t="str">
        <f t="array" ref="G443:G444">IF(ISBLANK(B443:B1236), "", XLOOKUP(B443:B1236, Sheet1!A443:A602, Sheet1!C443:C602, "Category Not Found", 0))</f>
        <v>#REF!</v>
      </c>
    </row>
    <row r="444">
      <c r="A444" s="1"/>
      <c r="B444" s="1" t="s">
        <v>2196</v>
      </c>
      <c r="C444" s="1" t="s">
        <v>2197</v>
      </c>
      <c r="D444" s="1" t="s">
        <v>2198</v>
      </c>
      <c r="E444" s="1" t="s">
        <v>2199</v>
      </c>
      <c r="F444" s="1" t="s">
        <v>2200</v>
      </c>
      <c r="G444" s="1" t="str">
        <f t="array" ref="G444:G445">IF(ISBLANK(B444:B1237), "", XLOOKUP(B444:B1237, Sheet1!A444:A603, Sheet1!C444:C603, "Category Not Found", 0))</f>
        <v>#REF!</v>
      </c>
    </row>
    <row r="445">
      <c r="A445" s="1"/>
      <c r="B445" s="1" t="s">
        <v>2201</v>
      </c>
      <c r="C445" s="1" t="s">
        <v>2202</v>
      </c>
      <c r="D445" s="1" t="s">
        <v>2203</v>
      </c>
      <c r="E445" s="1" t="s">
        <v>2204</v>
      </c>
      <c r="F445" s="1" t="s">
        <v>2205</v>
      </c>
      <c r="G445" s="1" t="str">
        <f t="array" ref="G445:G446">IF(ISBLANK(B445:B1238), "", XLOOKUP(B445:B1238, Sheet1!A445:A604, Sheet1!C445:C604, "Category Not Found", 0))</f>
        <v>#REF!</v>
      </c>
    </row>
    <row r="446">
      <c r="A446" s="1"/>
      <c r="B446" s="1" t="s">
        <v>2206</v>
      </c>
      <c r="C446" s="1" t="s">
        <v>2207</v>
      </c>
      <c r="D446" s="1" t="s">
        <v>2208</v>
      </c>
      <c r="E446" s="1" t="s">
        <v>2209</v>
      </c>
      <c r="F446" s="1" t="s">
        <v>2210</v>
      </c>
      <c r="G446" s="1" t="str">
        <f t="array" ref="G446:G447">IF(ISBLANK(B446:B1239), "", XLOOKUP(B446:B1239, Sheet1!A446:A605, Sheet1!C446:C605, "Category Not Found", 0))</f>
        <v>#REF!</v>
      </c>
    </row>
    <row r="447">
      <c r="A447" s="1"/>
      <c r="B447" s="1" t="s">
        <v>2211</v>
      </c>
      <c r="C447" s="1" t="s">
        <v>2212</v>
      </c>
      <c r="D447" s="1" t="s">
        <v>2213</v>
      </c>
      <c r="E447" s="1" t="s">
        <v>2214</v>
      </c>
      <c r="F447" s="1" t="s">
        <v>2215</v>
      </c>
      <c r="G447" s="1" t="str">
        <f t="array" ref="G447:G448">IF(ISBLANK(B447:B1240), "", XLOOKUP(B447:B1240, Sheet1!A447:A606, Sheet1!C447:C606, "Category Not Found", 0))</f>
        <v>#REF!</v>
      </c>
    </row>
    <row r="448">
      <c r="A448" s="1"/>
      <c r="B448" s="1" t="s">
        <v>2216</v>
      </c>
      <c r="C448" s="1" t="s">
        <v>2217</v>
      </c>
      <c r="D448" s="1" t="s">
        <v>330</v>
      </c>
      <c r="E448" s="1" t="s">
        <v>2218</v>
      </c>
      <c r="F448" s="1" t="s">
        <v>2219</v>
      </c>
      <c r="G448" s="1" t="str">
        <f t="array" ref="G448:G449">IF(ISBLANK(B448:B1241), "", XLOOKUP(B448:B1241, Sheet1!A448:A607, Sheet1!C448:C607, "Category Not Found", 0))</f>
        <v>#REF!</v>
      </c>
    </row>
    <row r="449">
      <c r="A449" s="1"/>
      <c r="B449" s="1" t="s">
        <v>2220</v>
      </c>
      <c r="C449" s="1" t="s">
        <v>2221</v>
      </c>
      <c r="D449" s="1" t="s">
        <v>2222</v>
      </c>
      <c r="E449" s="1" t="s">
        <v>2223</v>
      </c>
      <c r="F449" s="1" t="s">
        <v>2224</v>
      </c>
      <c r="G449" s="1" t="str">
        <f t="array" ref="G449:G450">IF(ISBLANK(B449:B1242), "", XLOOKUP(B449:B1242, Sheet1!A449:A608, Sheet1!C449:C608, "Category Not Found", 0))</f>
        <v>#REF!</v>
      </c>
    </row>
    <row r="450">
      <c r="A450" s="1"/>
      <c r="B450" s="1" t="s">
        <v>2225</v>
      </c>
      <c r="C450" s="1" t="s">
        <v>2226</v>
      </c>
      <c r="D450" s="1" t="s">
        <v>2227</v>
      </c>
      <c r="E450" s="1" t="s">
        <v>2228</v>
      </c>
      <c r="F450" s="1" t="s">
        <v>2229</v>
      </c>
      <c r="G450" s="1" t="str">
        <f t="array" ref="G450:G451">IF(ISBLANK(B450:B1243), "", XLOOKUP(B450:B1243, Sheet1!A450:A609, Sheet1!C450:C609, "Category Not Found", 0))</f>
        <v>#REF!</v>
      </c>
    </row>
    <row r="451">
      <c r="A451" s="1"/>
      <c r="B451" s="1" t="s">
        <v>2230</v>
      </c>
      <c r="C451" s="1" t="s">
        <v>2231</v>
      </c>
      <c r="D451" s="1" t="s">
        <v>2232</v>
      </c>
      <c r="E451" s="1" t="s">
        <v>2233</v>
      </c>
      <c r="F451" s="1" t="s">
        <v>2234</v>
      </c>
      <c r="G451" s="1" t="str">
        <f t="array" ref="G451:G452">IF(ISBLANK(B451:B1244), "", XLOOKUP(B451:B1244, Sheet1!A451:A610, Sheet1!C451:C610, "Category Not Found", 0))</f>
        <v>#REF!</v>
      </c>
    </row>
    <row r="452">
      <c r="A452" s="1"/>
      <c r="B452" s="1" t="s">
        <v>2235</v>
      </c>
      <c r="C452" s="1" t="s">
        <v>2236</v>
      </c>
      <c r="D452" s="1" t="s">
        <v>2237</v>
      </c>
      <c r="E452" s="1" t="s">
        <v>2238</v>
      </c>
      <c r="F452" s="1" t="s">
        <v>2239</v>
      </c>
      <c r="G452" s="1" t="str">
        <f t="array" ref="G452:G453">IF(ISBLANK(B452:B1245), "", XLOOKUP(B452:B1245, Sheet1!A452:A611, Sheet1!C452:C611, "Category Not Found", 0))</f>
        <v>#REF!</v>
      </c>
    </row>
    <row r="453">
      <c r="A453" s="1"/>
      <c r="B453" s="1" t="s">
        <v>2240</v>
      </c>
      <c r="C453" s="1" t="s">
        <v>2241</v>
      </c>
      <c r="D453" s="1" t="s">
        <v>2242</v>
      </c>
      <c r="E453" s="1" t="s">
        <v>2243</v>
      </c>
      <c r="F453" s="1" t="s">
        <v>2244</v>
      </c>
      <c r="G453" s="1" t="str">
        <f t="array" ref="G453:G454">IF(ISBLANK(B453:B1246), "", XLOOKUP(B453:B1246, Sheet1!A453:A612, Sheet1!C453:C612, "Category Not Found", 0))</f>
        <v>#REF!</v>
      </c>
    </row>
    <row r="454">
      <c r="A454" s="1"/>
      <c r="B454" s="1" t="s">
        <v>2245</v>
      </c>
      <c r="C454" s="1" t="s">
        <v>2246</v>
      </c>
      <c r="D454" s="1" t="s">
        <v>2247</v>
      </c>
      <c r="E454" s="1" t="s">
        <v>2248</v>
      </c>
      <c r="F454" s="1" t="s">
        <v>2249</v>
      </c>
      <c r="G454" s="1" t="str">
        <f t="array" ref="G454:G455">IF(ISBLANK(B454:B1247), "", XLOOKUP(B454:B1247, Sheet1!A454:A613, Sheet1!C454:C613, "Category Not Found", 0))</f>
        <v>#REF!</v>
      </c>
    </row>
    <row r="455">
      <c r="A455" s="1"/>
      <c r="B455" s="1" t="s">
        <v>2250</v>
      </c>
      <c r="C455" s="1" t="s">
        <v>2251</v>
      </c>
      <c r="D455" s="1" t="s">
        <v>2252</v>
      </c>
      <c r="E455" s="1" t="s">
        <v>2253</v>
      </c>
      <c r="F455" s="1" t="s">
        <v>2254</v>
      </c>
      <c r="G455" s="1" t="str">
        <f t="array" ref="G455:G456">IF(ISBLANK(B455:B1248), "", XLOOKUP(B455:B1248, Sheet1!A455:A614, Sheet1!C455:C614, "Category Not Found", 0))</f>
        <v>#REF!</v>
      </c>
    </row>
    <row r="456">
      <c r="A456" s="1"/>
      <c r="B456" s="1" t="s">
        <v>2255</v>
      </c>
      <c r="C456" s="1" t="s">
        <v>2256</v>
      </c>
      <c r="D456" s="1" t="s">
        <v>2257</v>
      </c>
      <c r="E456" s="1" t="s">
        <v>2258</v>
      </c>
      <c r="F456" s="1" t="s">
        <v>2259</v>
      </c>
      <c r="G456" s="1" t="str">
        <f t="array" ref="G456:G457">IF(ISBLANK(B456:B1249), "", XLOOKUP(B456:B1249, Sheet1!A456:A615, Sheet1!C456:C615, "Category Not Found", 0))</f>
        <v>#REF!</v>
      </c>
    </row>
    <row r="457">
      <c r="A457" s="1"/>
      <c r="B457" s="1" t="s">
        <v>2260</v>
      </c>
      <c r="C457" s="1" t="s">
        <v>2261</v>
      </c>
      <c r="D457" s="1" t="s">
        <v>2262</v>
      </c>
      <c r="E457" s="1" t="s">
        <v>2263</v>
      </c>
      <c r="F457" s="1" t="s">
        <v>2264</v>
      </c>
      <c r="G457" s="1" t="str">
        <f t="array" ref="G457:G458">IF(ISBLANK(B457:B1250), "", XLOOKUP(B457:B1250, Sheet1!A457:A616, Sheet1!C457:C616, "Category Not Found", 0))</f>
        <v>#REF!</v>
      </c>
    </row>
    <row r="458">
      <c r="A458" s="1"/>
      <c r="B458" s="1" t="s">
        <v>2265</v>
      </c>
      <c r="C458" s="1" t="s">
        <v>2266</v>
      </c>
      <c r="D458" s="1" t="s">
        <v>2267</v>
      </c>
      <c r="E458" s="1" t="s">
        <v>2268</v>
      </c>
      <c r="F458" s="1" t="s">
        <v>2269</v>
      </c>
      <c r="G458" s="1" t="str">
        <f t="array" ref="G458:G459">IF(ISBLANK(B458:B1251), "", XLOOKUP(B458:B1251, Sheet1!A458:A617, Sheet1!C458:C617, "Category Not Found", 0))</f>
        <v>#REF!</v>
      </c>
    </row>
    <row r="459">
      <c r="A459" s="1"/>
      <c r="B459" s="1" t="s">
        <v>2270</v>
      </c>
      <c r="C459" s="1" t="s">
        <v>2271</v>
      </c>
      <c r="D459" s="1" t="s">
        <v>2272</v>
      </c>
      <c r="E459" s="1" t="s">
        <v>2273</v>
      </c>
      <c r="F459" s="1" t="s">
        <v>2274</v>
      </c>
      <c r="G459" s="1" t="str">
        <f t="array" ref="G459:G460">IF(ISBLANK(B459:B1252), "", XLOOKUP(B459:B1252, Sheet1!A459:A618, Sheet1!C459:C618, "Category Not Found", 0))</f>
        <v>#REF!</v>
      </c>
    </row>
    <row r="460">
      <c r="A460" s="1"/>
      <c r="B460" s="1" t="s">
        <v>2275</v>
      </c>
      <c r="C460" s="1" t="s">
        <v>2276</v>
      </c>
      <c r="D460" s="1" t="s">
        <v>2277</v>
      </c>
      <c r="E460" s="1" t="s">
        <v>2278</v>
      </c>
      <c r="F460" s="1" t="s">
        <v>2279</v>
      </c>
      <c r="G460" s="1" t="str">
        <f t="array" ref="G460:G461">IF(ISBLANK(B460:B1253), "", XLOOKUP(B460:B1253, Sheet1!A460:A619, Sheet1!C460:C619, "Category Not Found", 0))</f>
        <v>#REF!</v>
      </c>
    </row>
    <row r="461">
      <c r="A461" s="1"/>
      <c r="B461" s="1" t="s">
        <v>2280</v>
      </c>
      <c r="C461" s="1" t="s">
        <v>2281</v>
      </c>
      <c r="D461" s="1" t="s">
        <v>2282</v>
      </c>
      <c r="E461" s="1" t="s">
        <v>2283</v>
      </c>
      <c r="F461" s="1" t="s">
        <v>2284</v>
      </c>
      <c r="G461" s="1" t="str">
        <f t="array" ref="G461:G462">IF(ISBLANK(B461:B1254), "", XLOOKUP(B461:B1254, Sheet1!A461:A620, Sheet1!C461:C620, "Category Not Found", 0))</f>
        <v>#REF!</v>
      </c>
    </row>
    <row r="462">
      <c r="A462" s="1"/>
      <c r="B462" s="1" t="s">
        <v>2285</v>
      </c>
      <c r="C462" s="1" t="s">
        <v>2286</v>
      </c>
      <c r="D462" s="1" t="s">
        <v>2287</v>
      </c>
      <c r="E462" s="1" t="s">
        <v>2288</v>
      </c>
      <c r="F462" s="1" t="s">
        <v>2289</v>
      </c>
      <c r="G462" s="1" t="str">
        <f t="array" ref="G462:G463">IF(ISBLANK(B462:B1255), "", XLOOKUP(B462:B1255, Sheet1!A462:A621, Sheet1!C462:C621, "Category Not Found", 0))</f>
        <v>#REF!</v>
      </c>
    </row>
    <row r="463">
      <c r="A463" s="1"/>
      <c r="B463" s="1" t="s">
        <v>2290</v>
      </c>
      <c r="C463" s="1" t="s">
        <v>2291</v>
      </c>
      <c r="D463" s="1" t="s">
        <v>2292</v>
      </c>
      <c r="E463" s="1" t="s">
        <v>2293</v>
      </c>
      <c r="F463" s="1" t="s">
        <v>2294</v>
      </c>
      <c r="G463" s="1" t="str">
        <f t="array" ref="G463:G464">IF(ISBLANK(B463:B1256), "", XLOOKUP(B463:B1256, Sheet1!A463:A622, Sheet1!C463:C622, "Category Not Found", 0))</f>
        <v>#REF!</v>
      </c>
    </row>
    <row r="464">
      <c r="A464" s="1"/>
      <c r="B464" s="1" t="s">
        <v>2295</v>
      </c>
      <c r="C464" s="1" t="s">
        <v>2296</v>
      </c>
      <c r="D464" s="1" t="s">
        <v>2297</v>
      </c>
      <c r="E464" s="1" t="s">
        <v>2298</v>
      </c>
      <c r="F464" s="1" t="s">
        <v>2299</v>
      </c>
      <c r="G464" s="1" t="str">
        <f t="array" ref="G464:G465">IF(ISBLANK(B464:B1257), "", XLOOKUP(B464:B1257, Sheet1!A464:A623, Sheet1!C464:C623, "Category Not Found", 0))</f>
        <v>#REF!</v>
      </c>
    </row>
    <row r="465">
      <c r="A465" s="1"/>
      <c r="B465" s="1" t="s">
        <v>2300</v>
      </c>
      <c r="C465" s="1" t="s">
        <v>2301</v>
      </c>
      <c r="D465" s="1" t="s">
        <v>2302</v>
      </c>
      <c r="E465" s="1" t="s">
        <v>2303</v>
      </c>
      <c r="F465" s="1" t="s">
        <v>2304</v>
      </c>
      <c r="G465" s="1" t="str">
        <f t="array" ref="G465:G466">IF(ISBLANK(B465:B1258), "", XLOOKUP(B465:B1258, Sheet1!A465:A624, Sheet1!C465:C624, "Category Not Found", 0))</f>
        <v>#REF!</v>
      </c>
    </row>
    <row r="466">
      <c r="A466" s="1"/>
      <c r="B466" s="1" t="s">
        <v>2305</v>
      </c>
      <c r="C466" s="1" t="s">
        <v>2306</v>
      </c>
      <c r="D466" s="1" t="s">
        <v>2307</v>
      </c>
      <c r="E466" s="1" t="s">
        <v>2308</v>
      </c>
      <c r="F466" s="1" t="s">
        <v>2309</v>
      </c>
      <c r="G466" s="1" t="str">
        <f t="array" ref="G466:G467">IF(ISBLANK(B466:B1259), "", XLOOKUP(B466:B1259, Sheet1!A466:A625, Sheet1!C466:C625, "Category Not Found", 0))</f>
        <v>#REF!</v>
      </c>
    </row>
    <row r="467">
      <c r="A467" s="1"/>
      <c r="B467" s="1" t="s">
        <v>2310</v>
      </c>
      <c r="C467" s="1" t="s">
        <v>2311</v>
      </c>
      <c r="D467" s="1" t="s">
        <v>2312</v>
      </c>
      <c r="E467" s="1" t="s">
        <v>2313</v>
      </c>
      <c r="F467" s="1" t="s">
        <v>2314</v>
      </c>
      <c r="G467" s="1" t="str">
        <f t="array" ref="G467:G468">IF(ISBLANK(B467:B1260), "", XLOOKUP(B467:B1260, Sheet1!A467:A626, Sheet1!C467:C626, "Category Not Found", 0))</f>
        <v>#REF!</v>
      </c>
    </row>
    <row r="468">
      <c r="A468" s="1"/>
      <c r="B468" s="1" t="s">
        <v>2315</v>
      </c>
      <c r="C468" s="1" t="s">
        <v>2316</v>
      </c>
      <c r="D468" s="1" t="s">
        <v>2317</v>
      </c>
      <c r="E468" s="1" t="s">
        <v>2318</v>
      </c>
      <c r="F468" s="1" t="s">
        <v>2319</v>
      </c>
      <c r="G468" s="1" t="str">
        <f t="array" ref="G468:G469">IF(ISBLANK(B468:B1261), "", XLOOKUP(B468:B1261, Sheet1!A468:A627, Sheet1!C468:C627, "Category Not Found", 0))</f>
        <v>#REF!</v>
      </c>
    </row>
    <row r="469">
      <c r="A469" s="1"/>
      <c r="B469" s="1" t="s">
        <v>2320</v>
      </c>
      <c r="C469" s="1" t="s">
        <v>2321</v>
      </c>
      <c r="D469" s="1" t="s">
        <v>2322</v>
      </c>
      <c r="E469" s="1" t="s">
        <v>2323</v>
      </c>
      <c r="F469" s="1" t="s">
        <v>2324</v>
      </c>
      <c r="G469" s="1" t="str">
        <f t="array" ref="G469:G470">IF(ISBLANK(B469:B1262), "", XLOOKUP(B469:B1262, Sheet1!A469:A628, Sheet1!C469:C628, "Category Not Found", 0))</f>
        <v>#REF!</v>
      </c>
    </row>
    <row r="470">
      <c r="A470" s="1"/>
      <c r="B470" s="1" t="s">
        <v>2325</v>
      </c>
      <c r="C470" s="1" t="s">
        <v>2326</v>
      </c>
      <c r="D470" s="1" t="s">
        <v>2327</v>
      </c>
      <c r="E470" s="1" t="s">
        <v>2328</v>
      </c>
      <c r="F470" s="1" t="s">
        <v>2329</v>
      </c>
      <c r="G470" s="1" t="str">
        <f t="array" ref="G470:G471">IF(ISBLANK(B470:B1263), "", XLOOKUP(B470:B1263, Sheet1!A470:A629, Sheet1!C470:C629, "Category Not Found", 0))</f>
        <v>#REF!</v>
      </c>
    </row>
    <row r="471">
      <c r="A471" s="1"/>
      <c r="B471" s="1" t="s">
        <v>2330</v>
      </c>
      <c r="C471" s="1" t="s">
        <v>2331</v>
      </c>
      <c r="D471" s="1" t="s">
        <v>2332</v>
      </c>
      <c r="E471" s="1" t="s">
        <v>2333</v>
      </c>
      <c r="F471" s="1" t="s">
        <v>2334</v>
      </c>
      <c r="G471" s="1" t="str">
        <f t="array" ref="G471:G472">IF(ISBLANK(B471:B1264), "", XLOOKUP(B471:B1264, Sheet1!A471:A630, Sheet1!C471:C630, "Category Not Found", 0))</f>
        <v>#REF!</v>
      </c>
    </row>
    <row r="472">
      <c r="A472" s="1"/>
      <c r="B472" s="1" t="s">
        <v>2335</v>
      </c>
      <c r="C472" s="1" t="s">
        <v>2336</v>
      </c>
      <c r="D472" s="1" t="s">
        <v>2337</v>
      </c>
      <c r="E472" s="1" t="s">
        <v>2338</v>
      </c>
      <c r="F472" s="1" t="s">
        <v>2339</v>
      </c>
      <c r="G472" s="1" t="str">
        <f t="array" ref="G472:G473">IF(ISBLANK(B472:B1265), "", XLOOKUP(B472:B1265, Sheet1!A472:A631, Sheet1!C472:C631, "Category Not Found", 0))</f>
        <v>#REF!</v>
      </c>
    </row>
    <row r="473">
      <c r="A473" s="1"/>
      <c r="B473" s="1" t="s">
        <v>2340</v>
      </c>
      <c r="C473" s="1" t="s">
        <v>2341</v>
      </c>
      <c r="D473" s="1" t="s">
        <v>2342</v>
      </c>
      <c r="E473" s="1" t="s">
        <v>2343</v>
      </c>
      <c r="F473" s="1" t="s">
        <v>2344</v>
      </c>
      <c r="G473" s="1" t="str">
        <f t="array" ref="G473:G474">IF(ISBLANK(B473:B1266), "", XLOOKUP(B473:B1266, Sheet1!A473:A632, Sheet1!C473:C632, "Category Not Found", 0))</f>
        <v>#REF!</v>
      </c>
    </row>
    <row r="474">
      <c r="A474" s="1"/>
      <c r="B474" s="1" t="s">
        <v>2345</v>
      </c>
      <c r="C474" s="1" t="s">
        <v>2346</v>
      </c>
      <c r="D474" s="1" t="s">
        <v>2347</v>
      </c>
      <c r="E474" s="1" t="s">
        <v>2348</v>
      </c>
      <c r="F474" s="1" t="s">
        <v>2349</v>
      </c>
      <c r="G474" s="1" t="str">
        <f t="array" ref="G474:G475">IF(ISBLANK(B474:B1267), "", XLOOKUP(B474:B1267, Sheet1!A474:A633, Sheet1!C474:C633, "Category Not Found", 0))</f>
        <v>#REF!</v>
      </c>
    </row>
    <row r="475">
      <c r="A475" s="1"/>
      <c r="B475" s="1" t="s">
        <v>2350</v>
      </c>
      <c r="C475" s="1" t="s">
        <v>2351</v>
      </c>
      <c r="D475" s="1" t="s">
        <v>2352</v>
      </c>
      <c r="E475" s="1" t="s">
        <v>2353</v>
      </c>
      <c r="F475" s="1" t="s">
        <v>2354</v>
      </c>
      <c r="G475" s="1" t="str">
        <f t="array" ref="G475:G476">IF(ISBLANK(B475:B1268), "", XLOOKUP(B475:B1268, Sheet1!A475:A634, Sheet1!C475:C634, "Category Not Found", 0))</f>
        <v>#REF!</v>
      </c>
    </row>
    <row r="476">
      <c r="A476" s="1"/>
      <c r="B476" s="1" t="s">
        <v>2355</v>
      </c>
      <c r="C476" s="1" t="s">
        <v>2356</v>
      </c>
      <c r="D476" s="1" t="s">
        <v>2357</v>
      </c>
      <c r="E476" s="1" t="s">
        <v>2358</v>
      </c>
      <c r="F476" s="1" t="s">
        <v>2359</v>
      </c>
      <c r="G476" s="1" t="str">
        <f t="array" ref="G476:G477">IF(ISBLANK(B476:B1269), "", XLOOKUP(B476:B1269, Sheet1!A476:A635, Sheet1!C476:C635, "Category Not Found", 0))</f>
        <v>#REF!</v>
      </c>
    </row>
    <row r="477">
      <c r="A477" s="1"/>
      <c r="B477" s="1" t="s">
        <v>2360</v>
      </c>
      <c r="C477" s="1" t="s">
        <v>2361</v>
      </c>
      <c r="D477" s="1" t="s">
        <v>2362</v>
      </c>
      <c r="E477" s="1" t="s">
        <v>2363</v>
      </c>
      <c r="F477" s="1" t="s">
        <v>2364</v>
      </c>
      <c r="G477" s="1" t="str">
        <f t="array" ref="G477:G478">IF(ISBLANK(B477:B1270), "", XLOOKUP(B477:B1270, Sheet1!A477:A636, Sheet1!C477:C636, "Category Not Found", 0))</f>
        <v>#REF!</v>
      </c>
    </row>
    <row r="478">
      <c r="A478" s="1"/>
      <c r="B478" s="1" t="s">
        <v>2365</v>
      </c>
      <c r="C478" s="1" t="s">
        <v>2366</v>
      </c>
      <c r="D478" s="1" t="s">
        <v>2367</v>
      </c>
      <c r="E478" s="1" t="s">
        <v>2368</v>
      </c>
      <c r="F478" s="1" t="s">
        <v>2369</v>
      </c>
      <c r="G478" s="1" t="str">
        <f t="array" ref="G478:G479">IF(ISBLANK(B478:B1271), "", XLOOKUP(B478:B1271, Sheet1!A478:A637, Sheet1!C478:C637, "Category Not Found", 0))</f>
        <v>#REF!</v>
      </c>
    </row>
    <row r="479">
      <c r="A479" s="1"/>
      <c r="B479" s="1" t="s">
        <v>2370</v>
      </c>
      <c r="C479" s="1" t="s">
        <v>2371</v>
      </c>
      <c r="D479" s="1" t="s">
        <v>2372</v>
      </c>
      <c r="E479" s="1" t="s">
        <v>2373</v>
      </c>
      <c r="F479" s="1" t="s">
        <v>2374</v>
      </c>
      <c r="G479" s="1" t="str">
        <f t="array" ref="G479:G480">IF(ISBLANK(B479:B1272), "", XLOOKUP(B479:B1272, Sheet1!A479:A638, Sheet1!C479:C638, "Category Not Found", 0))</f>
        <v>#REF!</v>
      </c>
    </row>
    <row r="480">
      <c r="A480" s="1"/>
      <c r="B480" s="1" t="s">
        <v>2375</v>
      </c>
      <c r="C480" s="1" t="s">
        <v>2376</v>
      </c>
      <c r="D480" s="1" t="s">
        <v>2377</v>
      </c>
      <c r="E480" s="1" t="s">
        <v>2378</v>
      </c>
      <c r="F480" s="1" t="s">
        <v>2379</v>
      </c>
      <c r="G480" s="1" t="str">
        <f t="array" ref="G480:G481">IF(ISBLANK(B480:B1273), "", XLOOKUP(B480:B1273, Sheet1!A480:A639, Sheet1!C480:C639, "Category Not Found", 0))</f>
        <v>#REF!</v>
      </c>
    </row>
    <row r="481">
      <c r="A481" s="1"/>
      <c r="B481" s="1" t="s">
        <v>2380</v>
      </c>
      <c r="C481" s="1" t="s">
        <v>2381</v>
      </c>
      <c r="D481" s="1" t="s">
        <v>2382</v>
      </c>
      <c r="E481" s="1" t="s">
        <v>2383</v>
      </c>
      <c r="F481" s="1" t="s">
        <v>2384</v>
      </c>
      <c r="G481" s="1" t="str">
        <f t="array" ref="G481:G482">IF(ISBLANK(B481:B1274), "", XLOOKUP(B481:B1274, Sheet1!A481:A640, Sheet1!C481:C640, "Category Not Found", 0))</f>
        <v>#REF!</v>
      </c>
    </row>
    <row r="482">
      <c r="A482" s="1"/>
      <c r="B482" s="1" t="s">
        <v>2385</v>
      </c>
      <c r="C482" s="1" t="s">
        <v>2386</v>
      </c>
      <c r="D482" s="1" t="s">
        <v>2387</v>
      </c>
      <c r="E482" s="1" t="s">
        <v>2388</v>
      </c>
      <c r="F482" s="1" t="s">
        <v>2389</v>
      </c>
      <c r="G482" s="1" t="str">
        <f t="array" ref="G482:G483">IF(ISBLANK(B482:B1275), "", XLOOKUP(B482:B1275, Sheet1!A482:A641, Sheet1!C482:C641, "Category Not Found", 0))</f>
        <v>#REF!</v>
      </c>
    </row>
    <row r="483">
      <c r="A483" s="1"/>
      <c r="B483" s="1" t="s">
        <v>2390</v>
      </c>
      <c r="C483" s="1" t="s">
        <v>2391</v>
      </c>
      <c r="D483" s="1" t="s">
        <v>2392</v>
      </c>
      <c r="E483" s="1" t="s">
        <v>2393</v>
      </c>
      <c r="F483" s="1" t="s">
        <v>2394</v>
      </c>
      <c r="G483" s="1" t="str">
        <f t="array" ref="G483:G484">IF(ISBLANK(B483:B1276), "", XLOOKUP(B483:B1276, Sheet1!A483:A642, Sheet1!C483:C642, "Category Not Found", 0))</f>
        <v>#REF!</v>
      </c>
    </row>
    <row r="484">
      <c r="A484" s="1"/>
      <c r="B484" s="1" t="s">
        <v>2395</v>
      </c>
      <c r="C484" s="1" t="s">
        <v>2396</v>
      </c>
      <c r="D484" s="1" t="s">
        <v>2397</v>
      </c>
      <c r="E484" s="1" t="s">
        <v>2398</v>
      </c>
      <c r="F484" s="1" t="s">
        <v>2399</v>
      </c>
      <c r="G484" s="1" t="str">
        <f t="array" ref="G484:G485">IF(ISBLANK(B484:B1277), "", XLOOKUP(B484:B1277, Sheet1!A484:A643, Sheet1!C484:C643, "Category Not Found", 0))</f>
        <v>#REF!</v>
      </c>
    </row>
    <row r="485">
      <c r="A485" s="1"/>
      <c r="B485" s="1" t="s">
        <v>2400</v>
      </c>
      <c r="C485" s="1" t="s">
        <v>2401</v>
      </c>
      <c r="D485" s="1" t="s">
        <v>2402</v>
      </c>
      <c r="E485" s="1" t="s">
        <v>2403</v>
      </c>
      <c r="F485" s="1" t="s">
        <v>2404</v>
      </c>
      <c r="G485" s="1" t="str">
        <f t="array" ref="G485:G486">IF(ISBLANK(B485:B1278), "", XLOOKUP(B485:B1278, Sheet1!A485:A644, Sheet1!C485:C644, "Category Not Found", 0))</f>
        <v>#REF!</v>
      </c>
    </row>
    <row r="486">
      <c r="A486" s="1"/>
      <c r="B486" s="1" t="s">
        <v>2405</v>
      </c>
      <c r="C486" s="1" t="s">
        <v>2406</v>
      </c>
      <c r="D486" s="1" t="s">
        <v>2407</v>
      </c>
      <c r="E486" s="1" t="s">
        <v>2408</v>
      </c>
      <c r="F486" s="1" t="s">
        <v>2409</v>
      </c>
      <c r="G486" s="1" t="str">
        <f t="array" ref="G486:G487">IF(ISBLANK(B486:B1279), "", XLOOKUP(B486:B1279, Sheet1!A486:A645, Sheet1!C486:C645, "Category Not Found", 0))</f>
        <v>#REF!</v>
      </c>
    </row>
    <row r="487">
      <c r="A487" s="1"/>
      <c r="B487" s="1" t="s">
        <v>2410</v>
      </c>
      <c r="C487" s="1" t="s">
        <v>2411</v>
      </c>
      <c r="D487" s="1" t="s">
        <v>2412</v>
      </c>
      <c r="E487" s="1" t="s">
        <v>2413</v>
      </c>
      <c r="F487" s="1" t="s">
        <v>2414</v>
      </c>
      <c r="G487" s="1" t="str">
        <f t="array" ref="G487:G488">IF(ISBLANK(B487:B1280), "", XLOOKUP(B487:B1280, Sheet1!A487:A646, Sheet1!C487:C646, "Category Not Found", 0))</f>
        <v>#REF!</v>
      </c>
    </row>
    <row r="488">
      <c r="A488" s="1"/>
      <c r="B488" s="1" t="s">
        <v>2415</v>
      </c>
      <c r="C488" s="1" t="s">
        <v>2416</v>
      </c>
      <c r="D488" s="1" t="s">
        <v>2417</v>
      </c>
      <c r="E488" s="1" t="s">
        <v>2418</v>
      </c>
      <c r="F488" s="1" t="s">
        <v>2419</v>
      </c>
      <c r="G488" s="1" t="str">
        <f t="array" ref="G488:G489">IF(ISBLANK(B488:B1281), "", XLOOKUP(B488:B1281, Sheet1!A488:A647, Sheet1!C488:C647, "Category Not Found", 0))</f>
        <v>#REF!</v>
      </c>
    </row>
    <row r="489">
      <c r="A489" s="1"/>
      <c r="B489" s="1" t="s">
        <v>2420</v>
      </c>
      <c r="C489" s="1" t="s">
        <v>2421</v>
      </c>
      <c r="D489" s="1" t="s">
        <v>2422</v>
      </c>
      <c r="E489" s="1" t="s">
        <v>2423</v>
      </c>
      <c r="F489" s="1" t="s">
        <v>2424</v>
      </c>
      <c r="G489" s="1" t="str">
        <f t="array" ref="G489:G490">IF(ISBLANK(B489:B1282), "", XLOOKUP(B489:B1282, Sheet1!A489:A648, Sheet1!C489:C648, "Category Not Found", 0))</f>
        <v>#REF!</v>
      </c>
    </row>
    <row r="490">
      <c r="A490" s="1"/>
      <c r="B490" s="1" t="s">
        <v>2425</v>
      </c>
      <c r="C490" s="1" t="s">
        <v>2426</v>
      </c>
      <c r="D490" s="1" t="s">
        <v>330</v>
      </c>
      <c r="E490" s="1" t="s">
        <v>2427</v>
      </c>
      <c r="F490" s="1" t="s">
        <v>2428</v>
      </c>
      <c r="G490" s="1" t="str">
        <f t="array" ref="G490:G491">IF(ISBLANK(B490:B1283), "", XLOOKUP(B490:B1283, Sheet1!A490:A649, Sheet1!C490:C649, "Category Not Found", 0))</f>
        <v>#REF!</v>
      </c>
    </row>
    <row r="491">
      <c r="A491" s="1"/>
      <c r="B491" s="1" t="s">
        <v>2429</v>
      </c>
      <c r="C491" s="1" t="s">
        <v>2430</v>
      </c>
      <c r="D491" s="1" t="s">
        <v>2431</v>
      </c>
      <c r="E491" s="1" t="s">
        <v>2432</v>
      </c>
      <c r="F491" s="1" t="s">
        <v>2433</v>
      </c>
      <c r="G491" s="1" t="str">
        <f t="array" ref="G491:G492">IF(ISBLANK(B491:B1284), "", XLOOKUP(B491:B1284, Sheet1!A491:A650, Sheet1!C491:C650, "Category Not Found", 0))</f>
        <v>#REF!</v>
      </c>
    </row>
    <row r="492">
      <c r="A492" s="1"/>
      <c r="B492" s="1" t="s">
        <v>2434</v>
      </c>
      <c r="C492" s="1" t="s">
        <v>2434</v>
      </c>
      <c r="D492" s="1" t="s">
        <v>2435</v>
      </c>
      <c r="E492" s="1" t="s">
        <v>2436</v>
      </c>
      <c r="F492" s="1" t="s">
        <v>2437</v>
      </c>
      <c r="G492" s="1" t="str">
        <f t="array" ref="G492:G493">IF(ISBLANK(B492:B1285), "", XLOOKUP(B492:B1285, Sheet1!A492:A651, Sheet1!C492:C651, "Category Not Found", 0))</f>
        <v>#REF!</v>
      </c>
    </row>
    <row r="493">
      <c r="A493" s="1"/>
      <c r="B493" s="1" t="s">
        <v>2438</v>
      </c>
      <c r="C493" s="1" t="s">
        <v>2439</v>
      </c>
      <c r="D493" s="1" t="s">
        <v>2440</v>
      </c>
      <c r="E493" s="1" t="s">
        <v>2441</v>
      </c>
      <c r="F493" s="1" t="s">
        <v>2442</v>
      </c>
      <c r="G493" s="1" t="str">
        <f t="array" ref="G493:G494">IF(ISBLANK(B493:B1286), "", XLOOKUP(B493:B1286, Sheet1!A493:A652, Sheet1!C493:C652, "Category Not Found", 0))</f>
        <v>#REF!</v>
      </c>
    </row>
    <row r="494">
      <c r="A494" s="1"/>
      <c r="B494" s="1" t="s">
        <v>2443</v>
      </c>
      <c r="C494" s="1" t="s">
        <v>2444</v>
      </c>
      <c r="D494" s="1" t="s">
        <v>2445</v>
      </c>
      <c r="E494" s="1" t="s">
        <v>2446</v>
      </c>
      <c r="F494" s="1" t="s">
        <v>2447</v>
      </c>
      <c r="G494" s="1" t="str">
        <f t="array" ref="G494:G495">IF(ISBLANK(B494:B1287), "", XLOOKUP(B494:B1287, Sheet1!A494:A653, Sheet1!C494:C653, "Category Not Found", 0))</f>
        <v>#REF!</v>
      </c>
    </row>
    <row r="495">
      <c r="A495" s="1"/>
      <c r="B495" s="1" t="s">
        <v>2448</v>
      </c>
      <c r="C495" s="1" t="s">
        <v>2449</v>
      </c>
      <c r="D495" s="1" t="s">
        <v>2450</v>
      </c>
      <c r="E495" s="1" t="s">
        <v>2451</v>
      </c>
      <c r="F495" s="1" t="s">
        <v>2452</v>
      </c>
      <c r="G495" s="1" t="str">
        <f t="array" ref="G495:G496">IF(ISBLANK(B495:B1288), "", XLOOKUP(B495:B1288, Sheet1!A495:A654, Sheet1!C495:C654, "Category Not Found", 0))</f>
        <v>#REF!</v>
      </c>
    </row>
    <row r="496">
      <c r="A496" s="1"/>
      <c r="B496" s="1" t="s">
        <v>2453</v>
      </c>
      <c r="C496" s="1" t="s">
        <v>2454</v>
      </c>
      <c r="D496" s="1" t="s">
        <v>2455</v>
      </c>
      <c r="E496" s="1" t="s">
        <v>2456</v>
      </c>
      <c r="F496" s="1" t="s">
        <v>2457</v>
      </c>
      <c r="G496" s="1" t="str">
        <f t="array" ref="G496:G497">IF(ISBLANK(B496:B1289), "", XLOOKUP(B496:B1289, Sheet1!A496:A655, Sheet1!C496:C655, "Category Not Found", 0))</f>
        <v>#REF!</v>
      </c>
    </row>
    <row r="497">
      <c r="A497" s="1"/>
      <c r="B497" s="1" t="s">
        <v>2458</v>
      </c>
      <c r="C497" s="1" t="s">
        <v>2459</v>
      </c>
      <c r="D497" s="1" t="s">
        <v>2460</v>
      </c>
      <c r="E497" s="1" t="s">
        <v>2461</v>
      </c>
      <c r="F497" s="1" t="s">
        <v>2462</v>
      </c>
      <c r="G497" s="1" t="str">
        <f t="array" ref="G497:G498">IF(ISBLANK(B497:B1290), "", XLOOKUP(B497:B1290, Sheet1!A497:A656, Sheet1!C497:C656, "Category Not Found", 0))</f>
        <v>#REF!</v>
      </c>
    </row>
    <row r="498">
      <c r="A498" s="1"/>
      <c r="B498" s="1" t="s">
        <v>2463</v>
      </c>
      <c r="C498" s="1" t="s">
        <v>2464</v>
      </c>
      <c r="D498" s="1" t="s">
        <v>2465</v>
      </c>
      <c r="E498" s="1" t="s">
        <v>2466</v>
      </c>
      <c r="F498" s="1" t="s">
        <v>2467</v>
      </c>
      <c r="G498" s="1" t="str">
        <f t="array" ref="G498:G499">IF(ISBLANK(B498:B1291), "", XLOOKUP(B498:B1291, Sheet1!A498:A657, Sheet1!C498:C657, "Category Not Found", 0))</f>
        <v>#REF!</v>
      </c>
    </row>
    <row r="499">
      <c r="A499" s="1"/>
      <c r="B499" s="1" t="s">
        <v>2468</v>
      </c>
      <c r="C499" s="1" t="s">
        <v>2469</v>
      </c>
      <c r="D499" s="1" t="s">
        <v>2470</v>
      </c>
      <c r="E499" s="1" t="s">
        <v>2471</v>
      </c>
      <c r="F499" s="1" t="s">
        <v>2472</v>
      </c>
      <c r="G499" s="1" t="str">
        <f t="array" ref="G499:G500">IF(ISBLANK(B499:B1292), "", XLOOKUP(B499:B1292, Sheet1!A499:A658, Sheet1!C499:C658, "Category Not Found", 0))</f>
        <v>#REF!</v>
      </c>
    </row>
    <row r="500">
      <c r="A500" s="1"/>
      <c r="B500" s="1" t="s">
        <v>2473</v>
      </c>
      <c r="C500" s="1" t="s">
        <v>2474</v>
      </c>
      <c r="D500" s="1" t="s">
        <v>2475</v>
      </c>
      <c r="E500" s="1" t="s">
        <v>2476</v>
      </c>
      <c r="F500" s="1" t="s">
        <v>2477</v>
      </c>
      <c r="G500" s="1" t="str">
        <f t="array" ref="G500:G501">IF(ISBLANK(B500:B1293), "", XLOOKUP(B500:B1293, Sheet1!A500:A659, Sheet1!C500:C659, "Category Not Found", 0))</f>
        <v>#REF!</v>
      </c>
    </row>
    <row r="501">
      <c r="A501" s="1"/>
      <c r="B501" s="1" t="s">
        <v>2478</v>
      </c>
      <c r="C501" s="1" t="s">
        <v>2479</v>
      </c>
      <c r="D501" s="1" t="s">
        <v>2480</v>
      </c>
      <c r="E501" s="1" t="s">
        <v>2481</v>
      </c>
      <c r="F501" s="1" t="s">
        <v>2482</v>
      </c>
      <c r="G501" s="1" t="str">
        <f t="array" ref="G501:G502">IF(ISBLANK(B501:B1294), "", XLOOKUP(B501:B1294, Sheet1!A501:A660, Sheet1!C501:C660, "Category Not Found", 0))</f>
        <v>#REF!</v>
      </c>
    </row>
    <row r="502">
      <c r="A502" s="1"/>
      <c r="B502" s="1" t="s">
        <v>2483</v>
      </c>
      <c r="C502" s="1" t="s">
        <v>2484</v>
      </c>
      <c r="D502" s="1" t="s">
        <v>2485</v>
      </c>
      <c r="E502" s="1" t="s">
        <v>2486</v>
      </c>
      <c r="F502" s="1" t="s">
        <v>2487</v>
      </c>
      <c r="G502" s="1" t="str">
        <f t="array" ref="G502:G503">IF(ISBLANK(B502:B1295), "", XLOOKUP(B502:B1295, Sheet1!A502:A661, Sheet1!C502:C661, "Category Not Found", 0))</f>
        <v>#REF!</v>
      </c>
    </row>
    <row r="503">
      <c r="A503" s="1"/>
      <c r="B503" s="1" t="s">
        <v>2488</v>
      </c>
      <c r="C503" s="1" t="s">
        <v>2489</v>
      </c>
      <c r="D503" s="1" t="s">
        <v>2490</v>
      </c>
      <c r="E503" s="1" t="s">
        <v>2491</v>
      </c>
      <c r="F503" s="1" t="s">
        <v>2492</v>
      </c>
      <c r="G503" s="1" t="str">
        <f t="array" ref="G503:G504">IF(ISBLANK(B503:B1296), "", XLOOKUP(B503:B1296, Sheet1!A503:A662, Sheet1!C503:C662, "Category Not Found", 0))</f>
        <v>#REF!</v>
      </c>
    </row>
    <row r="504">
      <c r="A504" s="1"/>
      <c r="B504" s="1" t="s">
        <v>2493</v>
      </c>
      <c r="C504" s="1" t="s">
        <v>2494</v>
      </c>
      <c r="D504" s="1" t="s">
        <v>2495</v>
      </c>
      <c r="E504" s="1" t="s">
        <v>2496</v>
      </c>
      <c r="F504" s="1" t="s">
        <v>2497</v>
      </c>
      <c r="G504" s="1" t="str">
        <f t="array" ref="G504:G505">IF(ISBLANK(B504:B1297), "", XLOOKUP(B504:B1297, Sheet1!A504:A663, Sheet1!C504:C663, "Category Not Found", 0))</f>
        <v>#REF!</v>
      </c>
    </row>
    <row r="505">
      <c r="A505" s="1"/>
      <c r="B505" s="1" t="s">
        <v>2498</v>
      </c>
      <c r="C505" s="1" t="s">
        <v>2499</v>
      </c>
      <c r="D505" s="1" t="s">
        <v>2500</v>
      </c>
      <c r="E505" s="1" t="s">
        <v>2501</v>
      </c>
      <c r="F505" s="1" t="s">
        <v>2502</v>
      </c>
      <c r="G505" s="1" t="str">
        <f t="array" ref="G505:G506">IF(ISBLANK(B505:B1298), "", XLOOKUP(B505:B1298, Sheet1!A505:A664, Sheet1!C505:C664, "Category Not Found", 0))</f>
        <v>#REF!</v>
      </c>
    </row>
    <row r="506">
      <c r="A506" s="1"/>
      <c r="B506" s="1" t="s">
        <v>2503</v>
      </c>
      <c r="C506" s="1" t="s">
        <v>2504</v>
      </c>
      <c r="D506" s="1" t="s">
        <v>2505</v>
      </c>
      <c r="E506" s="1" t="s">
        <v>2506</v>
      </c>
      <c r="F506" s="1" t="s">
        <v>2507</v>
      </c>
      <c r="G506" s="1" t="str">
        <f t="array" ref="G506:G507">IF(ISBLANK(B506:B1299), "", XLOOKUP(B506:B1299, Sheet1!A506:A665, Sheet1!C506:C665, "Category Not Found", 0))</f>
        <v>#REF!</v>
      </c>
    </row>
    <row r="507">
      <c r="A507" s="1"/>
      <c r="B507" s="1" t="s">
        <v>2508</v>
      </c>
      <c r="C507" s="1" t="s">
        <v>2509</v>
      </c>
      <c r="D507" s="1" t="s">
        <v>2510</v>
      </c>
      <c r="E507" s="1" t="s">
        <v>2511</v>
      </c>
      <c r="F507" s="1" t="s">
        <v>2512</v>
      </c>
      <c r="G507" s="1" t="str">
        <f t="array" ref="G507:G508">IF(ISBLANK(B507:B1300), "", XLOOKUP(B507:B1300, Sheet1!A507:A666, Sheet1!C507:C666, "Category Not Found", 0))</f>
        <v>#REF!</v>
      </c>
    </row>
    <row r="508">
      <c r="A508" s="1"/>
      <c r="B508" s="1" t="s">
        <v>2513</v>
      </c>
      <c r="C508" s="1" t="s">
        <v>2514</v>
      </c>
      <c r="D508" s="1" t="s">
        <v>2515</v>
      </c>
      <c r="E508" s="1" t="s">
        <v>2516</v>
      </c>
      <c r="F508" s="1" t="s">
        <v>2517</v>
      </c>
      <c r="G508" s="1" t="str">
        <f t="array" ref="G508:G509">IF(ISBLANK(B508:B1301), "", XLOOKUP(B508:B1301, Sheet1!A508:A667, Sheet1!C508:C667, "Category Not Found", 0))</f>
        <v>#REF!</v>
      </c>
    </row>
    <row r="509">
      <c r="A509" s="1"/>
      <c r="B509" s="1" t="s">
        <v>2518</v>
      </c>
      <c r="C509" s="1" t="s">
        <v>2519</v>
      </c>
      <c r="D509" s="1" t="s">
        <v>2520</v>
      </c>
      <c r="E509" s="1" t="s">
        <v>2521</v>
      </c>
      <c r="F509" s="1" t="s">
        <v>2522</v>
      </c>
      <c r="G509" s="1" t="str">
        <f t="array" ref="G509:G510">IF(ISBLANK(B509:B1302), "", XLOOKUP(B509:B1302, Sheet1!A509:A668, Sheet1!C509:C668, "Category Not Found", 0))</f>
        <v>#REF!</v>
      </c>
    </row>
    <row r="510">
      <c r="A510" s="1"/>
      <c r="B510" s="1" t="s">
        <v>2523</v>
      </c>
      <c r="C510" s="1" t="s">
        <v>2524</v>
      </c>
      <c r="D510" s="1" t="s">
        <v>2525</v>
      </c>
      <c r="E510" s="1" t="s">
        <v>2526</v>
      </c>
      <c r="F510" s="1" t="s">
        <v>2527</v>
      </c>
      <c r="G510" s="1" t="str">
        <f t="array" ref="G510:G511">IF(ISBLANK(B510:B1303), "", XLOOKUP(B510:B1303, Sheet1!A510:A669, Sheet1!C510:C669, "Category Not Found", 0))</f>
        <v>#REF!</v>
      </c>
    </row>
    <row r="511">
      <c r="A511" s="1"/>
      <c r="B511" s="1" t="s">
        <v>2528</v>
      </c>
      <c r="C511" s="1" t="s">
        <v>2529</v>
      </c>
      <c r="D511" s="1" t="s">
        <v>2530</v>
      </c>
      <c r="E511" s="1" t="s">
        <v>2531</v>
      </c>
      <c r="F511" s="1" t="s">
        <v>2532</v>
      </c>
      <c r="G511" s="1" t="str">
        <f t="array" ref="G511:G512">IF(ISBLANK(B511:B1304), "", XLOOKUP(B511:B1304, Sheet1!A511:A670, Sheet1!C511:C670, "Category Not Found", 0))</f>
        <v>#REF!</v>
      </c>
    </row>
    <row r="512">
      <c r="A512" s="1"/>
      <c r="B512" s="1" t="s">
        <v>2533</v>
      </c>
      <c r="C512" s="1" t="s">
        <v>2534</v>
      </c>
      <c r="D512" s="1" t="s">
        <v>2535</v>
      </c>
      <c r="E512" s="1" t="s">
        <v>2536</v>
      </c>
      <c r="F512" s="1" t="s">
        <v>2537</v>
      </c>
      <c r="G512" s="1" t="str">
        <f t="array" ref="G512:G513">IF(ISBLANK(B512:B1305), "", XLOOKUP(B512:B1305, Sheet1!A512:A671, Sheet1!C512:C671, "Category Not Found", 0))</f>
        <v>#REF!</v>
      </c>
    </row>
    <row r="513">
      <c r="A513" s="1"/>
      <c r="B513" s="1" t="s">
        <v>2538</v>
      </c>
      <c r="C513" s="1" t="s">
        <v>2539</v>
      </c>
      <c r="D513" s="1" t="s">
        <v>2540</v>
      </c>
      <c r="E513" s="1" t="s">
        <v>2541</v>
      </c>
      <c r="F513" s="1" t="s">
        <v>2542</v>
      </c>
      <c r="G513" s="1" t="str">
        <f t="array" ref="G513:G514">IF(ISBLANK(B513:B1306), "", XLOOKUP(B513:B1306, Sheet1!A513:A672, Sheet1!C513:C672, "Category Not Found", 0))</f>
        <v>#REF!</v>
      </c>
    </row>
    <row r="514">
      <c r="A514" s="1"/>
      <c r="B514" s="1" t="s">
        <v>2543</v>
      </c>
      <c r="C514" s="1" t="s">
        <v>2544</v>
      </c>
      <c r="D514" s="1" t="s">
        <v>2545</v>
      </c>
      <c r="E514" s="1" t="s">
        <v>2546</v>
      </c>
      <c r="F514" s="1" t="s">
        <v>2547</v>
      </c>
      <c r="G514" s="1" t="str">
        <f t="array" ref="G514:G515">IF(ISBLANK(B514:B1307), "", XLOOKUP(B514:B1307, Sheet1!A514:A673, Sheet1!C514:C673, "Category Not Found", 0))</f>
        <v>#REF!</v>
      </c>
    </row>
    <row r="515">
      <c r="A515" s="1"/>
      <c r="B515" s="1" t="s">
        <v>2548</v>
      </c>
      <c r="C515" s="1" t="s">
        <v>2549</v>
      </c>
      <c r="D515" s="1" t="s">
        <v>2550</v>
      </c>
      <c r="E515" s="1" t="s">
        <v>2149</v>
      </c>
      <c r="F515" s="1" t="s">
        <v>2551</v>
      </c>
      <c r="G515" s="1" t="str">
        <f t="array" ref="G515:G516">IF(ISBLANK(B515:B1308), "", XLOOKUP(B515:B1308, Sheet1!A515:A674, Sheet1!C515:C674, "Category Not Found", 0))</f>
        <v>#REF!</v>
      </c>
    </row>
    <row r="516">
      <c r="A516" s="1"/>
      <c r="B516" s="1" t="s">
        <v>2552</v>
      </c>
      <c r="C516" s="1" t="s">
        <v>2553</v>
      </c>
      <c r="D516" s="1" t="s">
        <v>2554</v>
      </c>
      <c r="E516" s="1" t="s">
        <v>2555</v>
      </c>
      <c r="F516" s="1" t="s">
        <v>2556</v>
      </c>
      <c r="G516" s="1" t="str">
        <f t="array" ref="G516:G517">IF(ISBLANK(B516:B1309), "", XLOOKUP(B516:B1309, Sheet1!A516:A675, Sheet1!C516:C675, "Category Not Found", 0))</f>
        <v>#REF!</v>
      </c>
    </row>
    <row r="517">
      <c r="A517" s="1"/>
      <c r="B517" s="1" t="s">
        <v>2557</v>
      </c>
      <c r="C517" s="1" t="s">
        <v>2558</v>
      </c>
      <c r="D517" s="1" t="s">
        <v>2559</v>
      </c>
      <c r="E517" s="1" t="s">
        <v>2560</v>
      </c>
      <c r="F517" s="1" t="s">
        <v>2561</v>
      </c>
      <c r="G517" s="1" t="str">
        <f t="array" ref="G517:G518">IF(ISBLANK(B517:B1310), "", XLOOKUP(B517:B1310, Sheet1!A517:A676, Sheet1!C517:C676, "Category Not Found", 0))</f>
        <v>#REF!</v>
      </c>
    </row>
    <row r="518">
      <c r="A518" s="1"/>
      <c r="B518" s="1" t="s">
        <v>2562</v>
      </c>
      <c r="C518" s="1" t="s">
        <v>2563</v>
      </c>
      <c r="D518" s="1" t="s">
        <v>2564</v>
      </c>
      <c r="E518" s="1" t="s">
        <v>2565</v>
      </c>
      <c r="F518" s="1" t="s">
        <v>2566</v>
      </c>
      <c r="G518" s="1" t="str">
        <f t="array" ref="G518:G519">IF(ISBLANK(B518:B1311), "", XLOOKUP(B518:B1311, Sheet1!A518:A677, Sheet1!C518:C677, "Category Not Found", 0))</f>
        <v>#REF!</v>
      </c>
    </row>
    <row r="519">
      <c r="A519" s="1"/>
      <c r="B519" s="1" t="s">
        <v>2567</v>
      </c>
      <c r="C519" s="1" t="s">
        <v>2568</v>
      </c>
      <c r="D519" s="1" t="s">
        <v>2569</v>
      </c>
      <c r="E519" s="1" t="s">
        <v>2570</v>
      </c>
      <c r="F519" s="1" t="s">
        <v>2571</v>
      </c>
      <c r="G519" s="1" t="str">
        <f t="array" ref="G519:G520">IF(ISBLANK(B519:B1312), "", XLOOKUP(B519:B1312, Sheet1!A519:A678, Sheet1!C519:C678, "Category Not Found", 0))</f>
        <v>#REF!</v>
      </c>
    </row>
    <row r="520">
      <c r="A520" s="1"/>
      <c r="B520" s="1" t="s">
        <v>2572</v>
      </c>
      <c r="C520" s="1" t="s">
        <v>2573</v>
      </c>
      <c r="D520" s="1" t="s">
        <v>2574</v>
      </c>
      <c r="E520" s="1" t="s">
        <v>2575</v>
      </c>
      <c r="F520" s="1" t="s">
        <v>2576</v>
      </c>
      <c r="G520" s="1" t="str">
        <f t="array" ref="G520:G521">IF(ISBLANK(B520:B1313), "", XLOOKUP(B520:B1313, Sheet1!A520:A679, Sheet1!C520:C679, "Category Not Found", 0))</f>
        <v>#REF!</v>
      </c>
    </row>
    <row r="521">
      <c r="A521" s="1"/>
      <c r="B521" s="1" t="s">
        <v>2577</v>
      </c>
      <c r="C521" s="1" t="s">
        <v>2578</v>
      </c>
      <c r="D521" s="1" t="s">
        <v>2579</v>
      </c>
      <c r="E521" s="1" t="s">
        <v>2580</v>
      </c>
      <c r="F521" s="1" t="s">
        <v>2581</v>
      </c>
      <c r="G521" s="1" t="str">
        <f t="array" ref="G521:G522">IF(ISBLANK(B521:B1314), "", XLOOKUP(B521:B1314, Sheet1!A521:A680, Sheet1!C521:C680, "Category Not Found", 0))</f>
        <v>#REF!</v>
      </c>
    </row>
    <row r="522">
      <c r="A522" s="1"/>
      <c r="B522" s="1" t="s">
        <v>2582</v>
      </c>
      <c r="C522" s="1" t="s">
        <v>2583</v>
      </c>
      <c r="D522" s="1" t="s">
        <v>2584</v>
      </c>
      <c r="E522" s="1" t="s">
        <v>2585</v>
      </c>
      <c r="F522" s="1" t="s">
        <v>2586</v>
      </c>
      <c r="G522" s="1" t="str">
        <f t="array" ref="G522:G523">IF(ISBLANK(B522:B1315), "", XLOOKUP(B522:B1315, Sheet1!A522:A681, Sheet1!C522:C681, "Category Not Found", 0))</f>
        <v>#REF!</v>
      </c>
    </row>
    <row r="523">
      <c r="A523" s="1"/>
      <c r="B523" s="1" t="s">
        <v>2587</v>
      </c>
      <c r="C523" s="1" t="s">
        <v>2588</v>
      </c>
      <c r="D523" s="1" t="s">
        <v>2589</v>
      </c>
      <c r="E523" s="1" t="s">
        <v>2590</v>
      </c>
      <c r="F523" s="1" t="s">
        <v>2591</v>
      </c>
      <c r="G523" s="1" t="str">
        <f t="array" ref="G523:G524">IF(ISBLANK(B523:B1316), "", XLOOKUP(B523:B1316, Sheet1!A523:A682, Sheet1!C523:C682, "Category Not Found", 0))</f>
        <v>#REF!</v>
      </c>
    </row>
    <row r="524">
      <c r="A524" s="1"/>
      <c r="B524" s="1" t="s">
        <v>2592</v>
      </c>
      <c r="C524" s="1" t="s">
        <v>2593</v>
      </c>
      <c r="D524" s="1" t="s">
        <v>2594</v>
      </c>
      <c r="E524" s="1" t="s">
        <v>2595</v>
      </c>
      <c r="F524" s="1" t="s">
        <v>2596</v>
      </c>
      <c r="G524" s="1" t="str">
        <f t="array" ref="G524:G525">IF(ISBLANK(B524:B1317), "", XLOOKUP(B524:B1317, Sheet1!A524:A683, Sheet1!C524:C683, "Category Not Found", 0))</f>
        <v>#REF!</v>
      </c>
    </row>
    <row r="525">
      <c r="A525" s="1"/>
      <c r="B525" s="1" t="s">
        <v>2597</v>
      </c>
      <c r="C525" s="1" t="s">
        <v>2598</v>
      </c>
      <c r="D525" s="1" t="s">
        <v>2599</v>
      </c>
      <c r="E525" s="1" t="s">
        <v>2600</v>
      </c>
      <c r="F525" s="1" t="s">
        <v>2601</v>
      </c>
      <c r="G525" s="1" t="str">
        <f t="array" ref="G525:G526">IF(ISBLANK(B525:B1318), "", XLOOKUP(B525:B1318, Sheet1!A525:A684, Sheet1!C525:C684, "Category Not Found", 0))</f>
        <v>#REF!</v>
      </c>
    </row>
    <row r="526">
      <c r="A526" s="1"/>
      <c r="B526" s="1" t="s">
        <v>2602</v>
      </c>
      <c r="C526" s="1" t="s">
        <v>2603</v>
      </c>
      <c r="D526" s="1" t="s">
        <v>2604</v>
      </c>
      <c r="E526" s="1" t="s">
        <v>2605</v>
      </c>
      <c r="F526" s="1" t="s">
        <v>2606</v>
      </c>
      <c r="G526" s="1" t="str">
        <f t="array" ref="G526:G527">IF(ISBLANK(B526:B1319), "", XLOOKUP(B526:B1319, Sheet1!A526:A685, Sheet1!C526:C685, "Category Not Found", 0))</f>
        <v>#REF!</v>
      </c>
    </row>
    <row r="527">
      <c r="A527" s="1"/>
      <c r="B527" s="1" t="s">
        <v>2607</v>
      </c>
      <c r="C527" s="1" t="s">
        <v>2608</v>
      </c>
      <c r="D527" s="1" t="s">
        <v>2609</v>
      </c>
      <c r="E527" s="1" t="s">
        <v>2610</v>
      </c>
      <c r="F527" s="1" t="s">
        <v>2611</v>
      </c>
      <c r="G527" s="1" t="str">
        <f t="array" ref="G527:G528">IF(ISBLANK(B527:B1320), "", XLOOKUP(B527:B1320, Sheet1!A527:A686, Sheet1!C527:C686, "Category Not Found", 0))</f>
        <v>#REF!</v>
      </c>
    </row>
    <row r="528">
      <c r="A528" s="1"/>
      <c r="B528" s="1" t="s">
        <v>2612</v>
      </c>
      <c r="C528" s="1" t="s">
        <v>2613</v>
      </c>
      <c r="D528" s="1" t="s">
        <v>2614</v>
      </c>
      <c r="E528" s="1" t="s">
        <v>2615</v>
      </c>
      <c r="F528" s="1" t="s">
        <v>2616</v>
      </c>
      <c r="G528" s="1" t="str">
        <f t="array" ref="G528:G529">IF(ISBLANK(B528:B1321), "", XLOOKUP(B528:B1321, Sheet1!A528:A687, Sheet1!C528:C687, "Category Not Found", 0))</f>
        <v>#REF!</v>
      </c>
    </row>
    <row r="529">
      <c r="A529" s="1"/>
      <c r="B529" s="1" t="s">
        <v>2617</v>
      </c>
      <c r="C529" s="1" t="s">
        <v>2618</v>
      </c>
      <c r="D529" s="1" t="s">
        <v>2619</v>
      </c>
      <c r="E529" s="1" t="s">
        <v>2620</v>
      </c>
      <c r="F529" s="1" t="s">
        <v>2621</v>
      </c>
      <c r="G529" s="1" t="str">
        <f t="array" ref="G529:G530">IF(ISBLANK(B529:B1322), "", XLOOKUP(B529:B1322, Sheet1!A529:A688, Sheet1!C529:C688, "Category Not Found", 0))</f>
        <v>#REF!</v>
      </c>
    </row>
    <row r="530">
      <c r="A530" s="1"/>
      <c r="B530" s="1" t="s">
        <v>2622</v>
      </c>
      <c r="C530" s="1" t="s">
        <v>2623</v>
      </c>
      <c r="D530" s="1" t="s">
        <v>2624</v>
      </c>
      <c r="E530" s="1" t="s">
        <v>2625</v>
      </c>
      <c r="F530" s="1" t="s">
        <v>2626</v>
      </c>
      <c r="G530" s="1" t="str">
        <f t="array" ref="G530:G531">IF(ISBLANK(B530:B1323), "", XLOOKUP(B530:B1323, Sheet1!A530:A689, Sheet1!C530:C689, "Category Not Found", 0))</f>
        <v>#REF!</v>
      </c>
    </row>
    <row r="531">
      <c r="A531" s="1"/>
      <c r="B531" s="1" t="s">
        <v>2627</v>
      </c>
      <c r="C531" s="1" t="s">
        <v>2628</v>
      </c>
      <c r="D531" s="1" t="s">
        <v>2629</v>
      </c>
      <c r="E531" s="1" t="s">
        <v>2630</v>
      </c>
      <c r="F531" s="1" t="s">
        <v>2631</v>
      </c>
      <c r="G531" s="1" t="str">
        <f t="array" ref="G531:G532">IF(ISBLANK(B531:B1324), "", XLOOKUP(B531:B1324, Sheet1!A531:A690, Sheet1!C531:C690, "Category Not Found", 0))</f>
        <v>#REF!</v>
      </c>
    </row>
    <row r="532">
      <c r="A532" s="1"/>
      <c r="B532" s="1" t="s">
        <v>2632</v>
      </c>
      <c r="C532" s="1" t="s">
        <v>2633</v>
      </c>
      <c r="D532" s="1" t="s">
        <v>2634</v>
      </c>
      <c r="E532" s="1" t="s">
        <v>2635</v>
      </c>
      <c r="F532" s="1" t="s">
        <v>2636</v>
      </c>
      <c r="G532" s="1" t="str">
        <f t="array" ref="G532:G533">IF(ISBLANK(B532:B1325), "", XLOOKUP(B532:B1325, Sheet1!A532:A691, Sheet1!C532:C691, "Category Not Found", 0))</f>
        <v>#REF!</v>
      </c>
    </row>
    <row r="533">
      <c r="A533" s="1"/>
      <c r="B533" s="1" t="s">
        <v>2637</v>
      </c>
      <c r="C533" s="1" t="s">
        <v>2638</v>
      </c>
      <c r="D533" s="1" t="s">
        <v>2639</v>
      </c>
      <c r="E533" s="1" t="s">
        <v>2640</v>
      </c>
      <c r="F533" s="1" t="s">
        <v>2641</v>
      </c>
      <c r="G533" s="1" t="str">
        <f t="array" ref="G533:G534">IF(ISBLANK(B533:B1326), "", XLOOKUP(B533:B1326, Sheet1!A533:A692, Sheet1!C533:C692, "Category Not Found", 0))</f>
        <v>#REF!</v>
      </c>
    </row>
    <row r="534">
      <c r="A534" s="1"/>
      <c r="B534" s="1" t="s">
        <v>2642</v>
      </c>
      <c r="C534" s="1" t="s">
        <v>2643</v>
      </c>
      <c r="D534" s="1" t="s">
        <v>2644</v>
      </c>
      <c r="E534" s="1" t="s">
        <v>2645</v>
      </c>
      <c r="F534" s="1" t="s">
        <v>2646</v>
      </c>
      <c r="G534" s="1" t="str">
        <f t="array" ref="G534:G535">IF(ISBLANK(B534:B1327), "", XLOOKUP(B534:B1327, Sheet1!A534:A693, Sheet1!C534:C693, "Category Not Found", 0))</f>
        <v>#REF!</v>
      </c>
    </row>
    <row r="535">
      <c r="A535" s="1"/>
      <c r="B535" s="1" t="s">
        <v>2647</v>
      </c>
      <c r="C535" s="1" t="s">
        <v>1268</v>
      </c>
      <c r="D535" s="1" t="s">
        <v>2648</v>
      </c>
      <c r="E535" s="1" t="s">
        <v>2649</v>
      </c>
      <c r="F535" s="1" t="s">
        <v>1271</v>
      </c>
      <c r="G535" s="1" t="str">
        <f t="array" ref="G535:G536">IF(ISBLANK(B535:B1328), "", XLOOKUP(B535:B1328, Sheet1!A535:A694, Sheet1!C535:C694, "Category Not Found", 0))</f>
        <v>#REF!</v>
      </c>
    </row>
    <row r="536">
      <c r="A536" s="1"/>
      <c r="B536" s="1" t="s">
        <v>2650</v>
      </c>
      <c r="C536" s="1" t="s">
        <v>2651</v>
      </c>
      <c r="D536" s="1" t="s">
        <v>2652</v>
      </c>
      <c r="E536" s="1" t="s">
        <v>2653</v>
      </c>
      <c r="F536" s="1" t="s">
        <v>2654</v>
      </c>
      <c r="G536" s="1" t="str">
        <f t="array" ref="G536:G537">IF(ISBLANK(B536:B1329), "", XLOOKUP(B536:B1329, Sheet1!A536:A695, Sheet1!C536:C695, "Category Not Found", 0))</f>
        <v>#REF!</v>
      </c>
    </row>
    <row r="537">
      <c r="A537" s="1"/>
      <c r="B537" s="1" t="s">
        <v>2655</v>
      </c>
      <c r="C537" s="1" t="s">
        <v>2656</v>
      </c>
      <c r="D537" s="1" t="s">
        <v>2657</v>
      </c>
      <c r="E537" s="1" t="s">
        <v>2658</v>
      </c>
      <c r="F537" s="1" t="s">
        <v>2659</v>
      </c>
      <c r="G537" s="1" t="str">
        <f t="array" ref="G537:G538">IF(ISBLANK(B537:B1330), "", XLOOKUP(B537:B1330, Sheet1!A537:A696, Sheet1!C537:C696, "Category Not Found", 0))</f>
        <v>#REF!</v>
      </c>
    </row>
    <row r="538">
      <c r="A538" s="1"/>
      <c r="B538" s="1" t="s">
        <v>2660</v>
      </c>
      <c r="C538" s="1" t="s">
        <v>2661</v>
      </c>
      <c r="D538" s="1" t="s">
        <v>2662</v>
      </c>
      <c r="E538" s="1" t="s">
        <v>2663</v>
      </c>
      <c r="F538" s="1" t="s">
        <v>2664</v>
      </c>
      <c r="G538" s="1" t="str">
        <f t="array" ref="G538:G539">IF(ISBLANK(B538:B1331), "", XLOOKUP(B538:B1331, Sheet1!A538:A697, Sheet1!C538:C697, "Category Not Found", 0))</f>
        <v>#REF!</v>
      </c>
    </row>
    <row r="539">
      <c r="A539" s="1"/>
      <c r="B539" s="1" t="s">
        <v>2665</v>
      </c>
      <c r="C539" s="1" t="s">
        <v>2666</v>
      </c>
      <c r="D539" s="1" t="s">
        <v>2667</v>
      </c>
      <c r="E539" s="1" t="s">
        <v>2668</v>
      </c>
      <c r="F539" s="1" t="s">
        <v>2669</v>
      </c>
      <c r="G539" s="1" t="str">
        <f t="array" ref="G539:G540">IF(ISBLANK(B539:B1332), "", XLOOKUP(B539:B1332, Sheet1!A539:A698, Sheet1!C539:C698, "Category Not Found", 0))</f>
        <v>#REF!</v>
      </c>
    </row>
    <row r="540">
      <c r="A540" s="1"/>
      <c r="B540" s="1" t="s">
        <v>2670</v>
      </c>
      <c r="C540" s="1" t="s">
        <v>2671</v>
      </c>
      <c r="D540" s="1" t="s">
        <v>2672</v>
      </c>
      <c r="E540" s="1" t="s">
        <v>2673</v>
      </c>
      <c r="F540" s="1" t="s">
        <v>2674</v>
      </c>
      <c r="G540" s="1" t="str">
        <f t="array" ref="G540:G541">IF(ISBLANK(B540:B1333), "", XLOOKUP(B540:B1333, Sheet1!A540:A699, Sheet1!C540:C699, "Category Not Found", 0))</f>
        <v>#REF!</v>
      </c>
    </row>
    <row r="541">
      <c r="A541" s="1"/>
      <c r="B541" s="1" t="s">
        <v>2675</v>
      </c>
      <c r="C541" s="1" t="s">
        <v>2676</v>
      </c>
      <c r="D541" s="1" t="s">
        <v>2677</v>
      </c>
      <c r="E541" s="1" t="s">
        <v>2678</v>
      </c>
      <c r="F541" s="1" t="s">
        <v>2679</v>
      </c>
      <c r="G541" s="1" t="str">
        <f t="array" ref="G541:G542">IF(ISBLANK(B541:B1334), "", XLOOKUP(B541:B1334, Sheet1!A541:A700, Sheet1!C541:C700, "Category Not Found", 0))</f>
        <v>#REF!</v>
      </c>
    </row>
    <row r="542">
      <c r="A542" s="1"/>
      <c r="B542" s="1" t="s">
        <v>2680</v>
      </c>
      <c r="C542" s="1" t="s">
        <v>2681</v>
      </c>
      <c r="D542" s="1" t="s">
        <v>2682</v>
      </c>
      <c r="E542" s="1" t="s">
        <v>2683</v>
      </c>
      <c r="F542" s="1" t="s">
        <v>2684</v>
      </c>
      <c r="G542" s="1" t="str">
        <f t="array" ref="G542:G543">IF(ISBLANK(B542:B1335), "", XLOOKUP(B542:B1335, Sheet1!A542:A701, Sheet1!C542:C701, "Category Not Found", 0))</f>
        <v>#REF!</v>
      </c>
    </row>
    <row r="543">
      <c r="A543" s="1"/>
      <c r="B543" s="1" t="s">
        <v>2685</v>
      </c>
      <c r="C543" s="1" t="s">
        <v>2686</v>
      </c>
      <c r="D543" s="1" t="s">
        <v>2687</v>
      </c>
      <c r="E543" s="1" t="s">
        <v>2688</v>
      </c>
      <c r="F543" s="1" t="s">
        <v>2689</v>
      </c>
      <c r="G543" s="1" t="str">
        <f t="array" ref="G543:G544">IF(ISBLANK(B543:B1336), "", XLOOKUP(B543:B1336, Sheet1!A543:A702, Sheet1!C543:C702, "Category Not Found", 0))</f>
        <v>#REF!</v>
      </c>
    </row>
    <row r="544">
      <c r="A544" s="1"/>
      <c r="B544" s="1" t="s">
        <v>2690</v>
      </c>
      <c r="C544" s="1" t="s">
        <v>2691</v>
      </c>
      <c r="D544" s="1" t="s">
        <v>2692</v>
      </c>
      <c r="E544" s="1" t="s">
        <v>2693</v>
      </c>
      <c r="F544" s="1" t="s">
        <v>2694</v>
      </c>
      <c r="G544" s="1" t="str">
        <f t="array" ref="G544:G545">IF(ISBLANK(B544:B1337), "", XLOOKUP(B544:B1337, Sheet1!A544:A703, Sheet1!C544:C703, "Category Not Found", 0))</f>
        <v>#REF!</v>
      </c>
    </row>
    <row r="545">
      <c r="A545" s="1"/>
      <c r="B545" s="1" t="s">
        <v>2695</v>
      </c>
      <c r="C545" s="1" t="s">
        <v>2696</v>
      </c>
      <c r="D545" s="1" t="s">
        <v>2697</v>
      </c>
      <c r="E545" s="1" t="s">
        <v>2698</v>
      </c>
      <c r="F545" s="1" t="s">
        <v>2699</v>
      </c>
      <c r="G545" s="1" t="str">
        <f t="array" ref="G545:G546">IF(ISBLANK(B545:B1338), "", XLOOKUP(B545:B1338, Sheet1!A545:A704, Sheet1!C545:C704, "Category Not Found", 0))</f>
        <v>#REF!</v>
      </c>
    </row>
    <row r="546">
      <c r="A546" s="1"/>
      <c r="B546" s="1" t="s">
        <v>2700</v>
      </c>
      <c r="C546" s="1" t="s">
        <v>2701</v>
      </c>
      <c r="D546" s="1" t="s">
        <v>2702</v>
      </c>
      <c r="E546" s="1" t="s">
        <v>2703</v>
      </c>
      <c r="F546" s="1" t="s">
        <v>2704</v>
      </c>
      <c r="G546" s="1" t="str">
        <f t="array" ref="G546:G547">IF(ISBLANK(B546:B1339), "", XLOOKUP(B546:B1339, Sheet1!A546:A705, Sheet1!C546:C705, "Category Not Found", 0))</f>
        <v>#REF!</v>
      </c>
    </row>
    <row r="547">
      <c r="A547" s="1"/>
      <c r="B547" s="1" t="s">
        <v>2705</v>
      </c>
      <c r="C547" s="1" t="s">
        <v>2706</v>
      </c>
      <c r="D547" s="1" t="s">
        <v>2707</v>
      </c>
      <c r="E547" s="1" t="s">
        <v>2708</v>
      </c>
      <c r="F547" s="1" t="s">
        <v>2709</v>
      </c>
      <c r="G547" s="1" t="str">
        <f t="array" ref="G547:G548">IF(ISBLANK(B547:B1340), "", XLOOKUP(B547:B1340, Sheet1!A547:A706, Sheet1!C547:C706, "Category Not Found", 0))</f>
        <v>#REF!</v>
      </c>
    </row>
    <row r="548">
      <c r="A548" s="1"/>
      <c r="B548" s="1" t="s">
        <v>2710</v>
      </c>
      <c r="C548" s="1" t="s">
        <v>2711</v>
      </c>
      <c r="D548" s="1" t="s">
        <v>2712</v>
      </c>
      <c r="E548" s="1" t="s">
        <v>2713</v>
      </c>
      <c r="F548" s="1" t="s">
        <v>2714</v>
      </c>
      <c r="G548" s="1" t="str">
        <f t="array" ref="G548:G549">IF(ISBLANK(B548:B1341), "", XLOOKUP(B548:B1341, Sheet1!A548:A707, Sheet1!C548:C707, "Category Not Found", 0))</f>
        <v>#REF!</v>
      </c>
    </row>
    <row r="549">
      <c r="A549" s="1"/>
      <c r="B549" s="1" t="s">
        <v>2715</v>
      </c>
      <c r="C549" s="1" t="s">
        <v>2716</v>
      </c>
      <c r="D549" s="1" t="s">
        <v>2717</v>
      </c>
      <c r="E549" s="1" t="s">
        <v>2718</v>
      </c>
      <c r="F549" s="1" t="s">
        <v>2719</v>
      </c>
      <c r="G549" s="1" t="str">
        <f t="array" ref="G549:G550">IF(ISBLANK(B549:B1342), "", XLOOKUP(B549:B1342, Sheet1!A549:A708, Sheet1!C549:C708, "Category Not Found", 0))</f>
        <v>#REF!</v>
      </c>
    </row>
    <row r="550">
      <c r="A550" s="1"/>
      <c r="B550" s="1" t="s">
        <v>2720</v>
      </c>
      <c r="C550" s="1" t="s">
        <v>2721</v>
      </c>
      <c r="D550" s="1" t="s">
        <v>2722</v>
      </c>
      <c r="E550" s="1" t="s">
        <v>2723</v>
      </c>
      <c r="F550" s="1" t="s">
        <v>2724</v>
      </c>
      <c r="G550" s="1" t="str">
        <f t="array" ref="G550:G551">IF(ISBLANK(B550:B1343), "", XLOOKUP(B550:B1343, Sheet1!A550:A709, Sheet1!C550:C709, "Category Not Found", 0))</f>
        <v>#REF!</v>
      </c>
    </row>
    <row r="551">
      <c r="A551" s="1"/>
      <c r="B551" s="1" t="s">
        <v>2725</v>
      </c>
      <c r="C551" s="1" t="s">
        <v>2726</v>
      </c>
      <c r="D551" s="1" t="s">
        <v>2727</v>
      </c>
      <c r="E551" s="1" t="s">
        <v>2728</v>
      </c>
      <c r="F551" s="1" t="s">
        <v>2729</v>
      </c>
      <c r="G551" s="1" t="str">
        <f t="array" ref="G551:G552">IF(ISBLANK(B551:B1344), "", XLOOKUP(B551:B1344, Sheet1!A551:A710, Sheet1!C551:C710, "Category Not Found", 0))</f>
        <v>#REF!</v>
      </c>
    </row>
    <row r="552">
      <c r="A552" s="1"/>
      <c r="B552" s="1" t="s">
        <v>2730</v>
      </c>
      <c r="C552" s="1" t="s">
        <v>2731</v>
      </c>
      <c r="D552" s="1" t="s">
        <v>2732</v>
      </c>
      <c r="E552" s="1" t="s">
        <v>2733</v>
      </c>
      <c r="F552" s="1" t="s">
        <v>2734</v>
      </c>
      <c r="G552" s="1" t="str">
        <f t="array" ref="G552:G553">IF(ISBLANK(B552:B1345), "", XLOOKUP(B552:B1345, Sheet1!A552:A711, Sheet1!C552:C711, "Category Not Found", 0))</f>
        <v>#REF!</v>
      </c>
    </row>
    <row r="553">
      <c r="A553" s="1"/>
      <c r="B553" s="1" t="s">
        <v>2735</v>
      </c>
      <c r="C553" s="1" t="s">
        <v>2736</v>
      </c>
      <c r="D553" s="1" t="s">
        <v>2737</v>
      </c>
      <c r="E553" s="1" t="s">
        <v>2738</v>
      </c>
      <c r="F553" s="1" t="s">
        <v>2739</v>
      </c>
      <c r="G553" s="1" t="str">
        <f t="array" ref="G553:G554">IF(ISBLANK(B553:B1346), "", XLOOKUP(B553:B1346, Sheet1!A553:A712, Sheet1!C553:C712, "Category Not Found", 0))</f>
        <v>#REF!</v>
      </c>
    </row>
    <row r="554">
      <c r="A554" s="1"/>
      <c r="B554" s="1" t="s">
        <v>2740</v>
      </c>
      <c r="C554" s="1" t="s">
        <v>2741</v>
      </c>
      <c r="D554" s="1" t="s">
        <v>2742</v>
      </c>
      <c r="E554" s="1" t="s">
        <v>2743</v>
      </c>
      <c r="F554" s="1" t="s">
        <v>2744</v>
      </c>
      <c r="G554" s="1" t="str">
        <f t="array" ref="G554:G555">IF(ISBLANK(B554:B1347), "", XLOOKUP(B554:B1347, Sheet1!A554:A713, Sheet1!C554:C713, "Category Not Found", 0))</f>
        <v>#REF!</v>
      </c>
    </row>
    <row r="555">
      <c r="A555" s="1"/>
      <c r="B555" s="1" t="s">
        <v>2745</v>
      </c>
      <c r="C555" s="1" t="s">
        <v>2746</v>
      </c>
      <c r="D555" s="1" t="s">
        <v>2747</v>
      </c>
      <c r="E555" s="1" t="s">
        <v>2748</v>
      </c>
      <c r="F555" s="1" t="s">
        <v>2749</v>
      </c>
      <c r="G555" s="1" t="str">
        <f t="array" ref="G555:G556">IF(ISBLANK(B555:B1348), "", XLOOKUP(B555:B1348, Sheet1!A555:A714, Sheet1!C555:C714, "Category Not Found", 0))</f>
        <v>#REF!</v>
      </c>
    </row>
    <row r="556">
      <c r="A556" s="1"/>
      <c r="B556" s="1" t="s">
        <v>2750</v>
      </c>
      <c r="C556" s="1" t="s">
        <v>2751</v>
      </c>
      <c r="D556" s="1" t="s">
        <v>2752</v>
      </c>
      <c r="E556" s="1" t="s">
        <v>2753</v>
      </c>
      <c r="F556" s="1" t="s">
        <v>2754</v>
      </c>
      <c r="G556" s="1" t="str">
        <f t="array" ref="G556:G557">IF(ISBLANK(B556:B1349), "", XLOOKUP(B556:B1349, Sheet1!A556:A715, Sheet1!C556:C715, "Category Not Found", 0))</f>
        <v>#REF!</v>
      </c>
    </row>
    <row r="557">
      <c r="A557" s="1"/>
      <c r="B557" s="1" t="s">
        <v>2755</v>
      </c>
      <c r="C557" s="1" t="s">
        <v>2756</v>
      </c>
      <c r="D557" s="1" t="s">
        <v>2757</v>
      </c>
      <c r="E557" s="1" t="s">
        <v>2758</v>
      </c>
      <c r="F557" s="1" t="s">
        <v>2759</v>
      </c>
      <c r="G557" s="1" t="str">
        <f t="array" ref="G557:G558">IF(ISBLANK(B557:B1350), "", XLOOKUP(B557:B1350, Sheet1!A557:A716, Sheet1!C557:C716, "Category Not Found", 0))</f>
        <v>#REF!</v>
      </c>
    </row>
    <row r="558">
      <c r="A558" s="1"/>
      <c r="B558" s="1" t="s">
        <v>2760</v>
      </c>
      <c r="C558" s="1" t="s">
        <v>2761</v>
      </c>
      <c r="D558" s="1" t="s">
        <v>2762</v>
      </c>
      <c r="E558" s="1" t="s">
        <v>2763</v>
      </c>
      <c r="F558" s="1" t="s">
        <v>2764</v>
      </c>
      <c r="G558" s="1" t="str">
        <f t="array" ref="G558:G559">IF(ISBLANK(B558:B1351), "", XLOOKUP(B558:B1351, Sheet1!A558:A717, Sheet1!C558:C717, "Category Not Found", 0))</f>
        <v>#REF!</v>
      </c>
    </row>
    <row r="559">
      <c r="A559" s="1"/>
      <c r="B559" s="1" t="s">
        <v>2765</v>
      </c>
      <c r="C559" s="1" t="s">
        <v>2766</v>
      </c>
      <c r="D559" s="1" t="s">
        <v>2767</v>
      </c>
      <c r="E559" s="1" t="s">
        <v>2768</v>
      </c>
      <c r="F559" s="1" t="s">
        <v>2769</v>
      </c>
      <c r="G559" s="1" t="str">
        <f t="array" ref="G559:G560">IF(ISBLANK(B559:B1352), "", XLOOKUP(B559:B1352, Sheet1!A559:A718, Sheet1!C559:C718, "Category Not Found", 0))</f>
        <v>#REF!</v>
      </c>
    </row>
    <row r="560">
      <c r="A560" s="1"/>
      <c r="B560" s="1" t="s">
        <v>2770</v>
      </c>
      <c r="C560" s="1" t="s">
        <v>2771</v>
      </c>
      <c r="D560" s="1" t="s">
        <v>2772</v>
      </c>
      <c r="E560" s="1" t="s">
        <v>2773</v>
      </c>
      <c r="F560" s="1" t="s">
        <v>2774</v>
      </c>
      <c r="G560" s="1" t="str">
        <f t="array" ref="G560:G561">IF(ISBLANK(B560:B1353), "", XLOOKUP(B560:B1353, Sheet1!A560:A719, Sheet1!C560:C719, "Category Not Found", 0))</f>
        <v>#REF!</v>
      </c>
    </row>
    <row r="561">
      <c r="A561" s="1"/>
      <c r="B561" s="1" t="s">
        <v>2775</v>
      </c>
      <c r="C561" s="1" t="s">
        <v>2776</v>
      </c>
      <c r="D561" s="1" t="s">
        <v>2777</v>
      </c>
      <c r="E561" s="1" t="s">
        <v>2778</v>
      </c>
      <c r="F561" s="1" t="s">
        <v>2779</v>
      </c>
      <c r="G561" s="1" t="str">
        <f t="array" ref="G561:G562">IF(ISBLANK(B561:B1354), "", XLOOKUP(B561:B1354, Sheet1!A561:A720, Sheet1!C561:C720, "Category Not Found", 0))</f>
        <v>#REF!</v>
      </c>
    </row>
    <row r="562">
      <c r="A562" s="1"/>
      <c r="B562" s="1" t="s">
        <v>2780</v>
      </c>
      <c r="C562" s="1" t="s">
        <v>2781</v>
      </c>
      <c r="D562" s="1" t="s">
        <v>2782</v>
      </c>
      <c r="E562" s="1" t="s">
        <v>2783</v>
      </c>
      <c r="F562" s="1" t="s">
        <v>2784</v>
      </c>
      <c r="G562" s="1" t="str">
        <f t="array" ref="G562:G563">IF(ISBLANK(B562:B1355), "", XLOOKUP(B562:B1355, Sheet1!A562:A721, Sheet1!C562:C721, "Category Not Found", 0))</f>
        <v>#REF!</v>
      </c>
    </row>
    <row r="563">
      <c r="A563" s="1"/>
      <c r="B563" s="1" t="s">
        <v>2785</v>
      </c>
      <c r="C563" s="1" t="s">
        <v>2786</v>
      </c>
      <c r="D563" s="1" t="s">
        <v>2787</v>
      </c>
      <c r="E563" s="1" t="s">
        <v>2788</v>
      </c>
      <c r="F563" s="1" t="s">
        <v>2789</v>
      </c>
      <c r="G563" s="1" t="str">
        <f t="array" ref="G563:G564">IF(ISBLANK(B563:B1356), "", XLOOKUP(B563:B1356, Sheet1!A563:A722, Sheet1!C563:C722, "Category Not Found", 0))</f>
        <v>#REF!</v>
      </c>
    </row>
    <row r="564">
      <c r="A564" s="1"/>
      <c r="B564" s="1" t="s">
        <v>2790</v>
      </c>
      <c r="C564" s="1" t="s">
        <v>2791</v>
      </c>
      <c r="D564" s="1" t="s">
        <v>2792</v>
      </c>
      <c r="E564" s="1" t="s">
        <v>2793</v>
      </c>
      <c r="F564" s="1" t="s">
        <v>2794</v>
      </c>
      <c r="G564" s="1" t="str">
        <f t="array" ref="G564:G565">IF(ISBLANK(B564:B1357), "", XLOOKUP(B564:B1357, Sheet1!A564:A723, Sheet1!C564:C723, "Category Not Found", 0))</f>
        <v>#REF!</v>
      </c>
    </row>
    <row r="565">
      <c r="A565" s="1"/>
      <c r="B565" s="1" t="s">
        <v>2795</v>
      </c>
      <c r="C565" s="1" t="s">
        <v>2796</v>
      </c>
      <c r="D565" s="1" t="s">
        <v>2797</v>
      </c>
      <c r="E565" s="1" t="s">
        <v>2798</v>
      </c>
      <c r="F565" s="1" t="s">
        <v>2799</v>
      </c>
      <c r="G565" s="1" t="str">
        <f t="array" ref="G565:G566">IF(ISBLANK(B565:B1358), "", XLOOKUP(B565:B1358, Sheet1!A565:A724, Sheet1!C565:C724, "Category Not Found", 0))</f>
        <v>#REF!</v>
      </c>
    </row>
    <row r="566">
      <c r="A566" s="1"/>
      <c r="B566" s="1" t="s">
        <v>2800</v>
      </c>
      <c r="C566" s="1" t="s">
        <v>2801</v>
      </c>
      <c r="D566" s="1" t="s">
        <v>2802</v>
      </c>
      <c r="E566" s="1" t="s">
        <v>2803</v>
      </c>
      <c r="F566" s="1" t="s">
        <v>2804</v>
      </c>
      <c r="G566" s="1" t="str">
        <f t="array" ref="G566:G567">IF(ISBLANK(B566:B1359), "", XLOOKUP(B566:B1359, Sheet1!A566:A725, Sheet1!C566:C725, "Category Not Found", 0))</f>
        <v>#REF!</v>
      </c>
    </row>
    <row r="567">
      <c r="A567" s="1"/>
      <c r="B567" s="1" t="s">
        <v>2805</v>
      </c>
      <c r="C567" s="1" t="s">
        <v>2806</v>
      </c>
      <c r="D567" s="1" t="s">
        <v>2807</v>
      </c>
      <c r="E567" s="1" t="s">
        <v>2808</v>
      </c>
      <c r="F567" s="1" t="s">
        <v>2809</v>
      </c>
      <c r="G567" s="1" t="str">
        <f t="array" ref="G567:G568">IF(ISBLANK(B567:B1360), "", XLOOKUP(B567:B1360, Sheet1!A567:A726, Sheet1!C567:C726, "Category Not Found", 0))</f>
        <v>#REF!</v>
      </c>
    </row>
    <row r="568">
      <c r="A568" s="1"/>
      <c r="B568" s="1" t="s">
        <v>2810</v>
      </c>
      <c r="C568" s="1" t="s">
        <v>2811</v>
      </c>
      <c r="D568" s="1" t="s">
        <v>2812</v>
      </c>
      <c r="E568" s="1" t="s">
        <v>2813</v>
      </c>
      <c r="F568" s="1" t="s">
        <v>2814</v>
      </c>
      <c r="G568" s="1" t="str">
        <f t="array" ref="G568:G569">IF(ISBLANK(B568:B1361), "", XLOOKUP(B568:B1361, Sheet1!A568:A727, Sheet1!C568:C727, "Category Not Found", 0))</f>
        <v>#REF!</v>
      </c>
    </row>
    <row r="569">
      <c r="A569" s="1"/>
      <c r="B569" s="1" t="s">
        <v>2815</v>
      </c>
      <c r="C569" s="1" t="s">
        <v>2816</v>
      </c>
      <c r="D569" s="1" t="s">
        <v>2817</v>
      </c>
      <c r="E569" s="1" t="s">
        <v>2818</v>
      </c>
      <c r="F569" s="1" t="s">
        <v>2819</v>
      </c>
      <c r="G569" s="1" t="str">
        <f t="array" ref="G569:G570">IF(ISBLANK(B569:B1362), "", XLOOKUP(B569:B1362, Sheet1!A569:A728, Sheet1!C569:C728, "Category Not Found", 0))</f>
        <v>#REF!</v>
      </c>
    </row>
    <row r="570">
      <c r="A570" s="1"/>
      <c r="B570" s="1" t="s">
        <v>2820</v>
      </c>
      <c r="C570" s="1" t="s">
        <v>2821</v>
      </c>
      <c r="D570" s="1" t="s">
        <v>2822</v>
      </c>
      <c r="E570" s="1" t="s">
        <v>2823</v>
      </c>
      <c r="F570" s="1" t="s">
        <v>2824</v>
      </c>
      <c r="G570" s="1" t="str">
        <f t="array" ref="G570:G571">IF(ISBLANK(B570:B1363), "", XLOOKUP(B570:B1363, Sheet1!A570:A729, Sheet1!C570:C729, "Category Not Found", 0))</f>
        <v>#REF!</v>
      </c>
    </row>
    <row r="571">
      <c r="A571" s="1"/>
      <c r="B571" s="1" t="s">
        <v>2825</v>
      </c>
      <c r="C571" s="1" t="s">
        <v>2826</v>
      </c>
      <c r="D571" s="1" t="s">
        <v>2827</v>
      </c>
      <c r="E571" s="1" t="s">
        <v>2828</v>
      </c>
      <c r="F571" s="1" t="s">
        <v>2829</v>
      </c>
      <c r="G571" s="1" t="str">
        <f t="array" ref="G571:G572">IF(ISBLANK(B571:B1364), "", XLOOKUP(B571:B1364, Sheet1!A571:A730, Sheet1!C571:C730, "Category Not Found", 0))</f>
        <v>#REF!</v>
      </c>
    </row>
    <row r="572">
      <c r="A572" s="1"/>
      <c r="B572" s="1" t="s">
        <v>2830</v>
      </c>
      <c r="C572" s="1" t="s">
        <v>2831</v>
      </c>
      <c r="D572" s="1" t="s">
        <v>2832</v>
      </c>
      <c r="E572" s="1" t="s">
        <v>2833</v>
      </c>
      <c r="F572" s="1" t="s">
        <v>2834</v>
      </c>
      <c r="G572" s="1" t="str">
        <f t="array" ref="G572:G573">IF(ISBLANK(B572:B1365), "", XLOOKUP(B572:B1365, Sheet1!A572:A731, Sheet1!C572:C731, "Category Not Found", 0))</f>
        <v>#REF!</v>
      </c>
    </row>
    <row r="573">
      <c r="A573" s="1"/>
      <c r="B573" s="1" t="s">
        <v>2835</v>
      </c>
      <c r="C573" s="1" t="s">
        <v>2836</v>
      </c>
      <c r="D573" s="1" t="s">
        <v>2837</v>
      </c>
      <c r="E573" s="1" t="s">
        <v>2838</v>
      </c>
      <c r="F573" s="1" t="s">
        <v>2839</v>
      </c>
      <c r="G573" s="1" t="str">
        <f t="array" ref="G573:G574">IF(ISBLANK(B573:B1366), "", XLOOKUP(B573:B1366, Sheet1!A573:A732, Sheet1!C573:C732, "Category Not Found", 0))</f>
        <v>#REF!</v>
      </c>
    </row>
    <row r="574">
      <c r="A574" s="1"/>
      <c r="B574" s="1" t="s">
        <v>2840</v>
      </c>
      <c r="C574" s="1" t="s">
        <v>2841</v>
      </c>
      <c r="D574" s="1" t="s">
        <v>2842</v>
      </c>
      <c r="E574" s="1" t="s">
        <v>2843</v>
      </c>
      <c r="F574" s="1" t="s">
        <v>2844</v>
      </c>
      <c r="G574" s="1" t="str">
        <f t="array" ref="G574:G575">IF(ISBLANK(B574:B1367), "", XLOOKUP(B574:B1367, Sheet1!A574:A733, Sheet1!C574:C733, "Category Not Found", 0))</f>
        <v>#REF!</v>
      </c>
    </row>
    <row r="575">
      <c r="A575" s="1"/>
      <c r="B575" s="1" t="s">
        <v>2845</v>
      </c>
      <c r="C575" s="1" t="s">
        <v>2846</v>
      </c>
      <c r="D575" s="1" t="s">
        <v>2847</v>
      </c>
      <c r="E575" s="1" t="s">
        <v>2848</v>
      </c>
      <c r="F575" s="1" t="s">
        <v>2849</v>
      </c>
      <c r="G575" s="1" t="str">
        <f t="array" ref="G575:G576">IF(ISBLANK(B575:B1368), "", XLOOKUP(B575:B1368, Sheet1!A575:A734, Sheet1!C575:C734, "Category Not Found", 0))</f>
        <v>#REF!</v>
      </c>
    </row>
    <row r="576">
      <c r="A576" s="1"/>
      <c r="B576" s="1" t="s">
        <v>2850</v>
      </c>
      <c r="C576" s="1" t="s">
        <v>2851</v>
      </c>
      <c r="D576" s="1" t="s">
        <v>2852</v>
      </c>
      <c r="E576" s="1" t="s">
        <v>2853</v>
      </c>
      <c r="F576" s="1" t="s">
        <v>2854</v>
      </c>
      <c r="G576" s="1" t="str">
        <f t="array" ref="G576:G577">IF(ISBLANK(B576:B1369), "", XLOOKUP(B576:B1369, Sheet1!A576:A735, Sheet1!C576:C735, "Category Not Found", 0))</f>
        <v>#REF!</v>
      </c>
    </row>
    <row r="577">
      <c r="A577" s="1"/>
      <c r="B577" s="1" t="s">
        <v>2855</v>
      </c>
      <c r="C577" s="1" t="s">
        <v>2856</v>
      </c>
      <c r="D577" s="1" t="s">
        <v>2857</v>
      </c>
      <c r="E577" s="1" t="s">
        <v>2858</v>
      </c>
      <c r="F577" s="1" t="s">
        <v>2859</v>
      </c>
      <c r="G577" s="1" t="str">
        <f t="array" ref="G577:G578">IF(ISBLANK(B577:B1370), "", XLOOKUP(B577:B1370, Sheet1!A577:A736, Sheet1!C577:C736, "Category Not Found", 0))</f>
        <v>#REF!</v>
      </c>
    </row>
    <row r="578">
      <c r="A578" s="1"/>
      <c r="B578" s="1" t="s">
        <v>2860</v>
      </c>
      <c r="C578" s="1" t="s">
        <v>2861</v>
      </c>
      <c r="D578" s="1" t="s">
        <v>2862</v>
      </c>
      <c r="E578" s="1" t="s">
        <v>2863</v>
      </c>
      <c r="F578" s="1" t="s">
        <v>2864</v>
      </c>
      <c r="G578" s="1" t="str">
        <f t="array" ref="G578:G579">IF(ISBLANK(B578:B1371), "", XLOOKUP(B578:B1371, Sheet1!A578:A737, Sheet1!C578:C737, "Category Not Found", 0))</f>
        <v>#REF!</v>
      </c>
    </row>
    <row r="579">
      <c r="A579" s="1"/>
      <c r="B579" s="1" t="s">
        <v>2865</v>
      </c>
      <c r="C579" s="1" t="s">
        <v>2866</v>
      </c>
      <c r="D579" s="1" t="s">
        <v>2867</v>
      </c>
      <c r="E579" s="1" t="s">
        <v>2868</v>
      </c>
      <c r="F579" s="1" t="s">
        <v>2869</v>
      </c>
      <c r="G579" s="1" t="str">
        <f t="array" ref="G579:G580">IF(ISBLANK(B579:B1372), "", XLOOKUP(B579:B1372, Sheet1!A579:A738, Sheet1!C579:C738, "Category Not Found", 0))</f>
        <v>#REF!</v>
      </c>
    </row>
    <row r="580">
      <c r="A580" s="1"/>
      <c r="B580" s="1" t="s">
        <v>2870</v>
      </c>
      <c r="C580" s="1" t="s">
        <v>2871</v>
      </c>
      <c r="D580" s="1" t="s">
        <v>2872</v>
      </c>
      <c r="E580" s="1" t="s">
        <v>2873</v>
      </c>
      <c r="F580" s="1" t="s">
        <v>2874</v>
      </c>
      <c r="G580" s="1" t="str">
        <f t="array" ref="G580:G581">IF(ISBLANK(B580:B1373), "", XLOOKUP(B580:B1373, Sheet1!A580:A739, Sheet1!C580:C739, "Category Not Found", 0))</f>
        <v>#REF!</v>
      </c>
    </row>
    <row r="581">
      <c r="A581" s="1"/>
      <c r="B581" s="1" t="s">
        <v>2875</v>
      </c>
      <c r="C581" s="1" t="s">
        <v>2876</v>
      </c>
      <c r="D581" s="1" t="s">
        <v>2877</v>
      </c>
      <c r="E581" s="1" t="s">
        <v>2878</v>
      </c>
      <c r="F581" s="1" t="s">
        <v>2879</v>
      </c>
      <c r="G581" s="1" t="str">
        <f t="array" ref="G581:G582">IF(ISBLANK(B581:B1374), "", XLOOKUP(B581:B1374, Sheet1!A581:A740, Sheet1!C581:C740, "Category Not Found", 0))</f>
        <v>#REF!</v>
      </c>
    </row>
    <row r="582">
      <c r="A582" s="1"/>
      <c r="B582" s="1" t="s">
        <v>2880</v>
      </c>
      <c r="C582" s="1" t="s">
        <v>2881</v>
      </c>
      <c r="D582" s="1" t="s">
        <v>2882</v>
      </c>
      <c r="E582" s="1" t="s">
        <v>2883</v>
      </c>
      <c r="F582" s="1" t="s">
        <v>2884</v>
      </c>
      <c r="G582" s="1" t="str">
        <f t="array" ref="G582:G583">IF(ISBLANK(B582:B1375), "", XLOOKUP(B582:B1375, Sheet1!A582:A741, Sheet1!C582:C741, "Category Not Found", 0))</f>
        <v>#REF!</v>
      </c>
    </row>
    <row r="583">
      <c r="A583" s="1"/>
      <c r="B583" s="1" t="s">
        <v>2885</v>
      </c>
      <c r="C583" s="1" t="s">
        <v>2886</v>
      </c>
      <c r="D583" s="1" t="s">
        <v>2887</v>
      </c>
      <c r="E583" s="1" t="s">
        <v>2888</v>
      </c>
      <c r="F583" s="1" t="s">
        <v>2889</v>
      </c>
      <c r="G583" s="1" t="str">
        <f t="array" ref="G583:G584">IF(ISBLANK(B583:B1376), "", XLOOKUP(B583:B1376, Sheet1!A583:A742, Sheet1!C583:C742, "Category Not Found", 0))</f>
        <v>#REF!</v>
      </c>
    </row>
    <row r="584">
      <c r="A584" s="1"/>
      <c r="B584" s="1" t="s">
        <v>2890</v>
      </c>
      <c r="C584" s="1" t="s">
        <v>2891</v>
      </c>
      <c r="D584" s="1" t="s">
        <v>2460</v>
      </c>
      <c r="E584" s="1" t="s">
        <v>2461</v>
      </c>
      <c r="F584" s="1" t="s">
        <v>2892</v>
      </c>
      <c r="G584" s="1" t="str">
        <f t="array" ref="G584:G585">IF(ISBLANK(B584:B1377), "", XLOOKUP(B584:B1377, Sheet1!A584:A743, Sheet1!C584:C743, "Category Not Found", 0))</f>
        <v>#REF!</v>
      </c>
    </row>
    <row r="585">
      <c r="A585" s="1"/>
      <c r="B585" s="1" t="s">
        <v>2893</v>
      </c>
      <c r="C585" s="1" t="s">
        <v>2097</v>
      </c>
      <c r="D585" s="1" t="s">
        <v>2098</v>
      </c>
      <c r="E585" s="1" t="s">
        <v>2099</v>
      </c>
      <c r="F585" s="1" t="s">
        <v>2100</v>
      </c>
      <c r="G585" s="1" t="str">
        <f t="array" ref="G585:G586">IF(ISBLANK(B585:B1378), "", XLOOKUP(B585:B1378, Sheet1!A585:A744, Sheet1!C585:C744, "Category Not Found", 0))</f>
        <v>#REF!</v>
      </c>
    </row>
    <row r="586">
      <c r="A586" s="1"/>
      <c r="B586" s="1" t="s">
        <v>2894</v>
      </c>
      <c r="C586" s="1" t="s">
        <v>2895</v>
      </c>
      <c r="D586" s="1" t="s">
        <v>2896</v>
      </c>
      <c r="E586" s="1" t="s">
        <v>2897</v>
      </c>
      <c r="F586" s="1" t="s">
        <v>2898</v>
      </c>
      <c r="G586" s="1" t="str">
        <f t="array" ref="G586:G587">IF(ISBLANK(B586:B1379), "", XLOOKUP(B586:B1379, Sheet1!A586:A745, Sheet1!C586:C745, "Category Not Found", 0))</f>
        <v>#REF!</v>
      </c>
    </row>
    <row r="587">
      <c r="A587" s="1"/>
      <c r="B587" s="1" t="s">
        <v>2899</v>
      </c>
      <c r="C587" s="1" t="s">
        <v>2900</v>
      </c>
      <c r="D587" s="1" t="s">
        <v>2901</v>
      </c>
      <c r="E587" s="1" t="s">
        <v>2902</v>
      </c>
      <c r="F587" s="1" t="s">
        <v>2903</v>
      </c>
      <c r="G587" s="1" t="str">
        <f t="array" ref="G587:G588">IF(ISBLANK(B587:B1380), "", XLOOKUP(B587:B1380, Sheet1!A587:A746, Sheet1!C587:C746, "Category Not Found", 0))</f>
        <v>#REF!</v>
      </c>
    </row>
    <row r="588">
      <c r="A588" s="1"/>
      <c r="B588" s="1" t="s">
        <v>2904</v>
      </c>
      <c r="C588" s="1" t="s">
        <v>2905</v>
      </c>
      <c r="D588" s="1" t="s">
        <v>2906</v>
      </c>
      <c r="E588" s="1" t="s">
        <v>2907</v>
      </c>
      <c r="F588" s="1" t="s">
        <v>2908</v>
      </c>
      <c r="G588" s="1" t="str">
        <f t="array" ref="G588:G589">IF(ISBLANK(B588:B1381), "", XLOOKUP(B588:B1381, Sheet1!A588:A747, Sheet1!C588:C747, "Category Not Found", 0))</f>
        <v>#REF!</v>
      </c>
    </row>
    <row r="589">
      <c r="A589" s="1"/>
      <c r="B589" s="1" t="s">
        <v>2909</v>
      </c>
      <c r="C589" s="1" t="s">
        <v>2910</v>
      </c>
      <c r="D589" s="1" t="s">
        <v>2911</v>
      </c>
      <c r="E589" s="1" t="s">
        <v>2912</v>
      </c>
      <c r="F589" s="1" t="s">
        <v>2913</v>
      </c>
      <c r="G589" s="1" t="str">
        <f t="array" ref="G589:G590">IF(ISBLANK(B589:B1382), "", XLOOKUP(B589:B1382, Sheet1!A589:A748, Sheet1!C589:C748, "Category Not Found", 0))</f>
        <v>#REF!</v>
      </c>
    </row>
    <row r="590">
      <c r="A590" s="1"/>
      <c r="B590" s="1" t="s">
        <v>2914</v>
      </c>
      <c r="C590" s="1" t="s">
        <v>2915</v>
      </c>
      <c r="D590" s="1" t="s">
        <v>2916</v>
      </c>
      <c r="E590" s="1" t="s">
        <v>2917</v>
      </c>
      <c r="F590" s="1" t="s">
        <v>2918</v>
      </c>
      <c r="G590" s="1" t="str">
        <f t="array" ref="G590:G591">IF(ISBLANK(B590:B1383), "", XLOOKUP(B590:B1383, Sheet1!A590:A749, Sheet1!C590:C749, "Category Not Found", 0))</f>
        <v>#REF!</v>
      </c>
    </row>
    <row r="591">
      <c r="A591" s="1"/>
      <c r="B591" s="1" t="s">
        <v>2919</v>
      </c>
      <c r="C591" s="1" t="s">
        <v>2920</v>
      </c>
      <c r="D591" s="1" t="s">
        <v>2921</v>
      </c>
      <c r="E591" s="1" t="s">
        <v>2922</v>
      </c>
      <c r="F591" s="1" t="s">
        <v>2923</v>
      </c>
      <c r="G591" s="1" t="str">
        <f t="array" ref="G591:G592">IF(ISBLANK(B591:B1384), "", XLOOKUP(B591:B1384, Sheet1!A591:A750, Sheet1!C591:C750, "Category Not Found", 0))</f>
        <v>#REF!</v>
      </c>
    </row>
    <row r="592">
      <c r="A592" s="1"/>
      <c r="B592" s="1" t="s">
        <v>2924</v>
      </c>
      <c r="C592" s="1" t="s">
        <v>2925</v>
      </c>
      <c r="D592" s="1" t="s">
        <v>2926</v>
      </c>
      <c r="E592" s="1" t="s">
        <v>2927</v>
      </c>
      <c r="F592" s="1" t="s">
        <v>2928</v>
      </c>
      <c r="G592" s="1" t="str">
        <f t="array" ref="G592:G593">IF(ISBLANK(B592:B1385), "", XLOOKUP(B592:B1385, Sheet1!A592:A751, Sheet1!C592:C751, "Category Not Found", 0))</f>
        <v>#REF!</v>
      </c>
    </row>
    <row r="593">
      <c r="A593" s="1"/>
      <c r="B593" s="1" t="s">
        <v>2929</v>
      </c>
      <c r="C593" s="1" t="s">
        <v>2930</v>
      </c>
      <c r="D593" s="1" t="s">
        <v>2931</v>
      </c>
      <c r="E593" s="1" t="s">
        <v>2932</v>
      </c>
      <c r="F593" s="1" t="s">
        <v>2933</v>
      </c>
      <c r="G593" s="1" t="str">
        <f t="array" ref="G593:G594">IF(ISBLANK(B593:B1386), "", XLOOKUP(B593:B1386, Sheet1!A593:A752, Sheet1!C593:C752, "Category Not Found", 0))</f>
        <v>#REF!</v>
      </c>
    </row>
    <row r="594">
      <c r="A594" s="1"/>
      <c r="B594" s="1" t="s">
        <v>2934</v>
      </c>
      <c r="C594" s="1" t="s">
        <v>2935</v>
      </c>
      <c r="D594" s="1" t="s">
        <v>2936</v>
      </c>
      <c r="E594" s="1" t="s">
        <v>2937</v>
      </c>
      <c r="F594" s="1" t="s">
        <v>2938</v>
      </c>
      <c r="G594" s="1" t="str">
        <f t="array" ref="G594:G595">IF(ISBLANK(B594:B1387), "", XLOOKUP(B594:B1387, Sheet1!A594:A753, Sheet1!C594:C753, "Category Not Found", 0))</f>
        <v>#REF!</v>
      </c>
    </row>
    <row r="595">
      <c r="A595" s="1"/>
      <c r="B595" s="1" t="s">
        <v>2939</v>
      </c>
      <c r="C595" s="1" t="s">
        <v>2940</v>
      </c>
      <c r="D595" s="1" t="s">
        <v>2941</v>
      </c>
      <c r="E595" s="1" t="s">
        <v>2942</v>
      </c>
      <c r="F595" s="1" t="s">
        <v>2943</v>
      </c>
      <c r="G595" s="1" t="str">
        <f t="array" ref="G595:G596">IF(ISBLANK(B595:B1388), "", XLOOKUP(B595:B1388, Sheet1!A595:A754, Sheet1!C595:C754, "Category Not Found", 0))</f>
        <v>#REF!</v>
      </c>
    </row>
    <row r="596">
      <c r="A596" s="1"/>
      <c r="B596" s="1" t="s">
        <v>2944</v>
      </c>
      <c r="C596" s="1" t="s">
        <v>2945</v>
      </c>
      <c r="D596" s="1" t="s">
        <v>2946</v>
      </c>
      <c r="E596" s="1" t="s">
        <v>2947</v>
      </c>
      <c r="F596" s="1" t="s">
        <v>2948</v>
      </c>
      <c r="G596" s="1" t="str">
        <f t="array" ref="G596:G597">IF(ISBLANK(B596:B1389), "", XLOOKUP(B596:B1389, Sheet1!A596:A755, Sheet1!C596:C755, "Category Not Found", 0))</f>
        <v>#REF!</v>
      </c>
    </row>
    <row r="597">
      <c r="A597" s="1"/>
      <c r="B597" s="1" t="s">
        <v>2949</v>
      </c>
      <c r="C597" s="1" t="s">
        <v>2950</v>
      </c>
      <c r="D597" s="1" t="s">
        <v>2951</v>
      </c>
      <c r="E597" s="1" t="s">
        <v>2952</v>
      </c>
      <c r="F597" s="1" t="s">
        <v>2953</v>
      </c>
      <c r="G597" s="1" t="str">
        <f t="array" ref="G597:G598">IF(ISBLANK(B597:B1390), "", XLOOKUP(B597:B1390, Sheet1!A597:A756, Sheet1!C597:C756, "Category Not Found", 0))</f>
        <v>#REF!</v>
      </c>
    </row>
    <row r="598">
      <c r="A598" s="1"/>
      <c r="B598" s="1" t="s">
        <v>2954</v>
      </c>
      <c r="C598" s="1" t="s">
        <v>2955</v>
      </c>
      <c r="D598" s="1" t="s">
        <v>2956</v>
      </c>
      <c r="E598" s="1" t="s">
        <v>2957</v>
      </c>
      <c r="F598" s="1" t="s">
        <v>2958</v>
      </c>
      <c r="G598" s="1" t="str">
        <f t="array" ref="G598:G599">IF(ISBLANK(B598:B1391), "", XLOOKUP(B598:B1391, Sheet1!A598:A757, Sheet1!C598:C757, "Category Not Found", 0))</f>
        <v>#REF!</v>
      </c>
    </row>
    <row r="599">
      <c r="A599" s="1"/>
      <c r="B599" s="1" t="s">
        <v>2959</v>
      </c>
      <c r="C599" s="1" t="s">
        <v>2960</v>
      </c>
      <c r="D599" s="1" t="s">
        <v>2961</v>
      </c>
      <c r="E599" s="1" t="s">
        <v>2962</v>
      </c>
      <c r="F599" s="1" t="s">
        <v>2963</v>
      </c>
      <c r="G599" s="1" t="str">
        <f t="array" ref="G599:G600">IF(ISBLANK(B599:B1392), "", XLOOKUP(B599:B1392, Sheet1!A599:A758, Sheet1!C599:C758, "Category Not Found", 0))</f>
        <v>#REF!</v>
      </c>
    </row>
    <row r="600">
      <c r="A600" s="1"/>
      <c r="B600" s="1" t="s">
        <v>2964</v>
      </c>
      <c r="C600" s="1" t="s">
        <v>2965</v>
      </c>
      <c r="D600" s="1" t="s">
        <v>2966</v>
      </c>
      <c r="E600" s="1" t="s">
        <v>2967</v>
      </c>
      <c r="F600" s="1" t="s">
        <v>2968</v>
      </c>
      <c r="G600" s="1" t="str">
        <f t="array" ref="G600:G601">IF(ISBLANK(B600:B1393), "", XLOOKUP(B600:B1393, Sheet1!A600:A759, Sheet1!C600:C759, "Category Not Found", 0))</f>
        <v>#REF!</v>
      </c>
    </row>
    <row r="601">
      <c r="A601" s="1"/>
      <c r="B601" s="1" t="s">
        <v>2969</v>
      </c>
      <c r="C601" s="1" t="s">
        <v>2970</v>
      </c>
      <c r="D601" s="1" t="s">
        <v>2971</v>
      </c>
      <c r="E601" s="1" t="s">
        <v>2972</v>
      </c>
      <c r="F601" s="1" t="s">
        <v>2973</v>
      </c>
      <c r="G601" s="1" t="str">
        <f t="array" ref="G601:G602">IF(ISBLANK(B601:B1394), "", XLOOKUP(B601:B1394, Sheet1!A601:A760, Sheet1!C601:C760, "Category Not Found", 0))</f>
        <v>#REF!</v>
      </c>
    </row>
    <row r="602">
      <c r="A602" s="1"/>
      <c r="B602" s="1" t="s">
        <v>2974</v>
      </c>
      <c r="C602" s="1" t="s">
        <v>2975</v>
      </c>
      <c r="D602" s="1" t="s">
        <v>2976</v>
      </c>
      <c r="E602" s="1" t="s">
        <v>2977</v>
      </c>
      <c r="F602" s="1" t="s">
        <v>2978</v>
      </c>
      <c r="G602" s="1" t="str">
        <f t="array" ref="G602:G603">IF(ISBLANK(B602:B1395), "", XLOOKUP(B602:B1395, Sheet1!A602:A761, Sheet1!C602:C761, "Category Not Found", 0))</f>
        <v>#REF!</v>
      </c>
    </row>
    <row r="603">
      <c r="A603" s="1"/>
      <c r="B603" s="1" t="s">
        <v>2979</v>
      </c>
      <c r="C603" s="1" t="s">
        <v>2980</v>
      </c>
      <c r="D603" s="1" t="s">
        <v>2981</v>
      </c>
      <c r="E603" s="1" t="s">
        <v>2982</v>
      </c>
      <c r="F603" s="1" t="s">
        <v>2983</v>
      </c>
      <c r="G603" s="1" t="str">
        <f t="array" ref="G603:G604">IF(ISBLANK(B603:B1396), "", XLOOKUP(B603:B1396, Sheet1!A603:A762, Sheet1!C603:C762, "Category Not Found", 0))</f>
        <v>#REF!</v>
      </c>
    </row>
    <row r="604">
      <c r="A604" s="1"/>
      <c r="B604" s="1" t="s">
        <v>2984</v>
      </c>
      <c r="C604" s="1" t="s">
        <v>2985</v>
      </c>
      <c r="D604" s="1" t="s">
        <v>2986</v>
      </c>
      <c r="E604" s="1" t="s">
        <v>2987</v>
      </c>
      <c r="F604" s="1" t="s">
        <v>2988</v>
      </c>
      <c r="G604" s="1" t="str">
        <f t="array" ref="G604:G605">IF(ISBLANK(B604:B1397), "", XLOOKUP(B604:B1397, Sheet1!A604:A763, Sheet1!C604:C763, "Category Not Found", 0))</f>
        <v>#REF!</v>
      </c>
    </row>
    <row r="605">
      <c r="A605" s="1"/>
      <c r="B605" s="1" t="s">
        <v>2989</v>
      </c>
      <c r="C605" s="1" t="s">
        <v>2990</v>
      </c>
      <c r="D605" s="1" t="s">
        <v>2991</v>
      </c>
      <c r="E605" s="1" t="s">
        <v>2992</v>
      </c>
      <c r="F605" s="1" t="s">
        <v>2993</v>
      </c>
      <c r="G605" s="1" t="str">
        <f t="array" ref="G605:G606">IF(ISBLANK(B605:B1398), "", XLOOKUP(B605:B1398, Sheet1!A605:A764, Sheet1!C605:C764, "Category Not Found", 0))</f>
        <v>#REF!</v>
      </c>
    </row>
    <row r="606">
      <c r="A606" s="1"/>
      <c r="B606" s="1" t="s">
        <v>2994</v>
      </c>
      <c r="C606" s="1" t="s">
        <v>2995</v>
      </c>
      <c r="D606" s="1" t="s">
        <v>2996</v>
      </c>
      <c r="E606" s="1" t="s">
        <v>2997</v>
      </c>
      <c r="F606" s="1" t="s">
        <v>2998</v>
      </c>
      <c r="G606" s="1" t="str">
        <f t="array" ref="G606:G607">IF(ISBLANK(B606:B1399), "", XLOOKUP(B606:B1399, Sheet1!A606:A765, Sheet1!C606:C765, "Category Not Found", 0))</f>
        <v>#REF!</v>
      </c>
    </row>
    <row r="607">
      <c r="A607" s="1"/>
      <c r="B607" s="1" t="s">
        <v>2999</v>
      </c>
      <c r="C607" s="1" t="s">
        <v>3000</v>
      </c>
      <c r="D607" s="1" t="s">
        <v>3001</v>
      </c>
      <c r="E607" s="1" t="s">
        <v>3002</v>
      </c>
      <c r="F607" s="1" t="s">
        <v>3003</v>
      </c>
      <c r="G607" s="1" t="str">
        <f t="array" ref="G607:G608">IF(ISBLANK(B607:B1400), "", XLOOKUP(B607:B1400, Sheet1!A607:A766, Sheet1!C607:C766, "Category Not Found", 0))</f>
        <v>#REF!</v>
      </c>
    </row>
    <row r="608">
      <c r="A608" s="1"/>
      <c r="B608" s="1" t="s">
        <v>3004</v>
      </c>
      <c r="C608" s="1" t="s">
        <v>3005</v>
      </c>
      <c r="D608" s="1" t="s">
        <v>3006</v>
      </c>
      <c r="E608" s="1" t="s">
        <v>3007</v>
      </c>
      <c r="F608" s="1" t="s">
        <v>3008</v>
      </c>
      <c r="G608" s="1" t="str">
        <f t="array" ref="G608:G609">IF(ISBLANK(B608:B1401), "", XLOOKUP(B608:B1401, Sheet1!A608:A767, Sheet1!C608:C767, "Category Not Found", 0))</f>
        <v>#REF!</v>
      </c>
    </row>
    <row r="609">
      <c r="A609" s="1"/>
      <c r="B609" s="1" t="s">
        <v>3009</v>
      </c>
      <c r="C609" s="1" t="s">
        <v>3010</v>
      </c>
      <c r="D609" s="1" t="s">
        <v>3011</v>
      </c>
      <c r="E609" s="1" t="s">
        <v>3012</v>
      </c>
      <c r="F609" s="1" t="s">
        <v>3013</v>
      </c>
      <c r="G609" s="1" t="str">
        <f t="array" ref="G609:G610">IF(ISBLANK(B609:B1402), "", XLOOKUP(B609:B1402, Sheet1!A609:A768, Sheet1!C609:C768, "Category Not Found", 0))</f>
        <v>#REF!</v>
      </c>
    </row>
    <row r="610">
      <c r="A610" s="1"/>
      <c r="B610" s="1" t="s">
        <v>3014</v>
      </c>
      <c r="C610" s="1" t="s">
        <v>3015</v>
      </c>
      <c r="D610" s="1" t="s">
        <v>3016</v>
      </c>
      <c r="E610" s="1" t="s">
        <v>3017</v>
      </c>
      <c r="F610" s="1" t="s">
        <v>3018</v>
      </c>
      <c r="G610" s="1" t="str">
        <f t="array" ref="G610:G611">IF(ISBLANK(B610:B1403), "", XLOOKUP(B610:B1403, Sheet1!A610:A769, Sheet1!C610:C769, "Category Not Found", 0))</f>
        <v>#REF!</v>
      </c>
    </row>
    <row r="611">
      <c r="A611" s="1"/>
      <c r="B611" s="1" t="s">
        <v>3019</v>
      </c>
      <c r="C611" s="1" t="s">
        <v>3020</v>
      </c>
      <c r="D611" s="1" t="s">
        <v>3021</v>
      </c>
      <c r="E611" s="1" t="s">
        <v>3022</v>
      </c>
      <c r="F611" s="1" t="s">
        <v>3023</v>
      </c>
      <c r="G611" s="1" t="str">
        <f t="array" ref="G611:G612">IF(ISBLANK(B611:B1404), "", XLOOKUP(B611:B1404, Sheet1!A611:A770, Sheet1!C611:C770, "Category Not Found", 0))</f>
        <v>#REF!</v>
      </c>
    </row>
    <row r="612">
      <c r="A612" s="1"/>
      <c r="B612" s="1" t="s">
        <v>3024</v>
      </c>
      <c r="C612" s="1" t="s">
        <v>3025</v>
      </c>
      <c r="D612" s="1" t="s">
        <v>3026</v>
      </c>
      <c r="E612" s="1" t="s">
        <v>3027</v>
      </c>
      <c r="F612" s="1" t="s">
        <v>3028</v>
      </c>
      <c r="G612" s="1" t="str">
        <f t="array" ref="G612:G613">IF(ISBLANK(B612:B1405), "", XLOOKUP(B612:B1405, Sheet1!A612:A771, Sheet1!C612:C771, "Category Not Found", 0))</f>
        <v>#REF!</v>
      </c>
    </row>
    <row r="613">
      <c r="A613" s="1"/>
      <c r="B613" s="1" t="s">
        <v>3029</v>
      </c>
      <c r="C613" s="1" t="s">
        <v>3030</v>
      </c>
      <c r="D613" s="1" t="s">
        <v>3031</v>
      </c>
      <c r="E613" s="1" t="s">
        <v>3032</v>
      </c>
      <c r="F613" s="1" t="s">
        <v>3033</v>
      </c>
      <c r="G613" s="1" t="str">
        <f t="array" ref="G613:G614">IF(ISBLANK(B613:B1406), "", XLOOKUP(B613:B1406, Sheet1!A613:A772, Sheet1!C613:C772, "Category Not Found", 0))</f>
        <v>#REF!</v>
      </c>
    </row>
    <row r="614">
      <c r="A614" s="1"/>
      <c r="B614" s="1" t="s">
        <v>3034</v>
      </c>
      <c r="C614" s="1" t="s">
        <v>3035</v>
      </c>
      <c r="D614" s="1" t="s">
        <v>3036</v>
      </c>
      <c r="E614" s="1" t="s">
        <v>3037</v>
      </c>
      <c r="F614" s="1" t="s">
        <v>3038</v>
      </c>
      <c r="G614" s="1" t="str">
        <f t="array" ref="G614:G615">IF(ISBLANK(B614:B1407), "", XLOOKUP(B614:B1407, Sheet1!A614:A773, Sheet1!C614:C773, "Category Not Found", 0))</f>
        <v>#REF!</v>
      </c>
    </row>
    <row r="615">
      <c r="A615" s="1"/>
      <c r="B615" s="1" t="s">
        <v>3039</v>
      </c>
      <c r="C615" s="1" t="s">
        <v>3040</v>
      </c>
      <c r="D615" s="1" t="s">
        <v>3041</v>
      </c>
      <c r="E615" s="1" t="s">
        <v>3042</v>
      </c>
      <c r="F615" s="1" t="s">
        <v>3043</v>
      </c>
      <c r="G615" s="1" t="str">
        <f t="array" ref="G615:G616">IF(ISBLANK(B615:B1408), "", XLOOKUP(B615:B1408, Sheet1!A615:A774, Sheet1!C615:C774, "Category Not Found", 0))</f>
        <v>#REF!</v>
      </c>
    </row>
    <row r="616">
      <c r="A616" s="1"/>
      <c r="B616" s="1" t="s">
        <v>3044</v>
      </c>
      <c r="C616" s="1" t="s">
        <v>3045</v>
      </c>
      <c r="D616" s="1" t="s">
        <v>3046</v>
      </c>
      <c r="E616" s="1" t="s">
        <v>3047</v>
      </c>
      <c r="F616" s="1" t="s">
        <v>3048</v>
      </c>
      <c r="G616" s="1" t="str">
        <f t="array" ref="G616:G617">IF(ISBLANK(B616:B1409), "", XLOOKUP(B616:B1409, Sheet1!A616:A775, Sheet1!C616:C775, "Category Not Found", 0))</f>
        <v>#REF!</v>
      </c>
    </row>
    <row r="617">
      <c r="A617" s="1"/>
      <c r="B617" s="1" t="s">
        <v>3049</v>
      </c>
      <c r="C617" s="1" t="s">
        <v>3050</v>
      </c>
      <c r="D617" s="1" t="s">
        <v>3051</v>
      </c>
      <c r="E617" s="1" t="s">
        <v>3052</v>
      </c>
      <c r="F617" s="1" t="s">
        <v>3053</v>
      </c>
      <c r="G617" s="1" t="str">
        <f t="array" ref="G617:G618">IF(ISBLANK(B617:B1410), "", XLOOKUP(B617:B1410, Sheet1!A617:A776, Sheet1!C617:C776, "Category Not Found", 0))</f>
        <v>#REF!</v>
      </c>
    </row>
    <row r="618">
      <c r="A618" s="1"/>
      <c r="B618" s="1" t="s">
        <v>3054</v>
      </c>
      <c r="C618" s="1" t="s">
        <v>3055</v>
      </c>
      <c r="D618" s="1" t="s">
        <v>3056</v>
      </c>
      <c r="E618" s="1" t="s">
        <v>3057</v>
      </c>
      <c r="F618" s="1" t="s">
        <v>3058</v>
      </c>
      <c r="G618" s="1" t="str">
        <f t="array" ref="G618:G619">IF(ISBLANK(B618:B1411), "", XLOOKUP(B618:B1411, Sheet1!A618:A777, Sheet1!C618:C777, "Category Not Found", 0))</f>
        <v>#REF!</v>
      </c>
    </row>
    <row r="619">
      <c r="A619" s="1"/>
      <c r="B619" s="1" t="s">
        <v>3059</v>
      </c>
      <c r="C619" s="1" t="s">
        <v>3060</v>
      </c>
      <c r="D619" s="1" t="s">
        <v>3061</v>
      </c>
      <c r="E619" s="1" t="s">
        <v>3062</v>
      </c>
      <c r="F619" s="1" t="s">
        <v>3063</v>
      </c>
      <c r="G619" s="1" t="str">
        <f t="array" ref="G619:G620">IF(ISBLANK(B619:B1412), "", XLOOKUP(B619:B1412, Sheet1!A619:A778, Sheet1!C619:C778, "Category Not Found", 0))</f>
        <v>#REF!</v>
      </c>
    </row>
    <row r="620">
      <c r="A620" s="1"/>
      <c r="B620" s="1" t="s">
        <v>3064</v>
      </c>
      <c r="C620" s="1" t="s">
        <v>3065</v>
      </c>
      <c r="D620" s="1" t="s">
        <v>3066</v>
      </c>
      <c r="E620" s="1" t="s">
        <v>3067</v>
      </c>
      <c r="F620" s="1" t="s">
        <v>3068</v>
      </c>
      <c r="G620" s="1" t="str">
        <f t="array" ref="G620:G621">IF(ISBLANK(B620:B1413), "", XLOOKUP(B620:B1413, Sheet1!A620:A779, Sheet1!C620:C779, "Category Not Found", 0))</f>
        <v>#REF!</v>
      </c>
    </row>
    <row r="621">
      <c r="A621" s="1"/>
      <c r="B621" s="1" t="s">
        <v>3069</v>
      </c>
      <c r="C621" s="1" t="s">
        <v>3070</v>
      </c>
      <c r="D621" s="1" t="s">
        <v>3071</v>
      </c>
      <c r="E621" s="1" t="s">
        <v>3072</v>
      </c>
      <c r="F621" s="1" t="s">
        <v>3073</v>
      </c>
      <c r="G621" s="1" t="str">
        <f t="array" ref="G621:G622">IF(ISBLANK(B621:B1414), "", XLOOKUP(B621:B1414, Sheet1!A621:A780, Sheet1!C621:C780, "Category Not Found", 0))</f>
        <v>#REF!</v>
      </c>
    </row>
    <row r="622">
      <c r="A622" s="1"/>
      <c r="B622" s="1" t="s">
        <v>3074</v>
      </c>
      <c r="C622" s="1" t="s">
        <v>3075</v>
      </c>
      <c r="D622" s="1" t="s">
        <v>3076</v>
      </c>
      <c r="E622" s="1" t="s">
        <v>3077</v>
      </c>
      <c r="F622" s="1" t="s">
        <v>3078</v>
      </c>
      <c r="G622" s="1" t="str">
        <f t="array" ref="G622:G623">IF(ISBLANK(B622:B1415), "", XLOOKUP(B622:B1415, Sheet1!A622:A781, Sheet1!C622:C781, "Category Not Found", 0))</f>
        <v>#REF!</v>
      </c>
    </row>
    <row r="623">
      <c r="A623" s="1"/>
      <c r="B623" s="1" t="s">
        <v>3079</v>
      </c>
      <c r="C623" s="1" t="s">
        <v>3080</v>
      </c>
      <c r="D623" s="1" t="s">
        <v>3081</v>
      </c>
      <c r="E623" s="1" t="s">
        <v>3082</v>
      </c>
      <c r="F623" s="1" t="s">
        <v>3083</v>
      </c>
      <c r="G623" s="1" t="str">
        <f t="array" ref="G623:G624">IF(ISBLANK(B623:B1416), "", XLOOKUP(B623:B1416, Sheet1!A623:A782, Sheet1!C623:C782, "Category Not Found", 0))</f>
        <v>#REF!</v>
      </c>
    </row>
    <row r="624">
      <c r="A624" s="1"/>
      <c r="B624" s="1" t="s">
        <v>3084</v>
      </c>
      <c r="C624" s="1" t="s">
        <v>3085</v>
      </c>
      <c r="D624" s="1" t="s">
        <v>3086</v>
      </c>
      <c r="E624" s="1" t="s">
        <v>3087</v>
      </c>
      <c r="F624" s="1" t="s">
        <v>3088</v>
      </c>
      <c r="G624" s="1" t="str">
        <f t="array" ref="G624:G625">IF(ISBLANK(B624:B1417), "", XLOOKUP(B624:B1417, Sheet1!A624:A783, Sheet1!C624:C783, "Category Not Found", 0))</f>
        <v>#REF!</v>
      </c>
    </row>
    <row r="625">
      <c r="A625" s="1"/>
      <c r="B625" s="1" t="s">
        <v>3089</v>
      </c>
      <c r="C625" s="1" t="s">
        <v>3090</v>
      </c>
      <c r="D625" s="1" t="s">
        <v>3091</v>
      </c>
      <c r="E625" s="1" t="s">
        <v>3092</v>
      </c>
      <c r="F625" s="1" t="s">
        <v>3093</v>
      </c>
      <c r="G625" s="1" t="str">
        <f t="array" ref="G625:G626">IF(ISBLANK(B625:B1418), "", XLOOKUP(B625:B1418, Sheet1!A625:A784, Sheet1!C625:C784, "Category Not Found", 0))</f>
        <v>#REF!</v>
      </c>
    </row>
    <row r="626">
      <c r="A626" s="1"/>
      <c r="B626" s="1" t="s">
        <v>3094</v>
      </c>
      <c r="C626" s="1" t="s">
        <v>3095</v>
      </c>
      <c r="D626" s="1" t="s">
        <v>3096</v>
      </c>
      <c r="E626" s="1" t="s">
        <v>3097</v>
      </c>
      <c r="F626" s="1" t="s">
        <v>3098</v>
      </c>
      <c r="G626" s="1" t="str">
        <f t="array" ref="G626:G627">IF(ISBLANK(B626:B1419), "", XLOOKUP(B626:B1419, Sheet1!A626:A785, Sheet1!C626:C785, "Category Not Found", 0))</f>
        <v>#REF!</v>
      </c>
    </row>
    <row r="627">
      <c r="A627" s="1"/>
      <c r="B627" s="1" t="s">
        <v>3099</v>
      </c>
      <c r="C627" s="1" t="s">
        <v>3100</v>
      </c>
      <c r="D627" s="1" t="s">
        <v>3101</v>
      </c>
      <c r="E627" s="1" t="s">
        <v>3102</v>
      </c>
      <c r="F627" s="1" t="s">
        <v>3103</v>
      </c>
      <c r="G627" s="1" t="str">
        <f t="array" ref="G627:G628">IF(ISBLANK(B627:B1420), "", XLOOKUP(B627:B1420, Sheet1!A627:A786, Sheet1!C627:C786, "Category Not Found", 0))</f>
        <v>#REF!</v>
      </c>
    </row>
    <row r="628">
      <c r="A628" s="1"/>
      <c r="B628" s="1" t="s">
        <v>3104</v>
      </c>
      <c r="C628" s="1" t="s">
        <v>3105</v>
      </c>
      <c r="D628" s="1" t="s">
        <v>3106</v>
      </c>
      <c r="E628" s="1" t="s">
        <v>3107</v>
      </c>
      <c r="F628" s="1" t="s">
        <v>3108</v>
      </c>
      <c r="G628" s="1" t="str">
        <f t="array" ref="G628:G629">IF(ISBLANK(B628:B1421), "", XLOOKUP(B628:B1421, Sheet1!A628:A787, Sheet1!C628:C787, "Category Not Found", 0))</f>
        <v>#REF!</v>
      </c>
    </row>
    <row r="629">
      <c r="A629" s="1"/>
      <c r="B629" s="1" t="s">
        <v>3109</v>
      </c>
      <c r="C629" s="1" t="s">
        <v>3110</v>
      </c>
      <c r="D629" s="1" t="s">
        <v>3111</v>
      </c>
      <c r="E629" s="1" t="s">
        <v>3112</v>
      </c>
      <c r="F629" s="1" t="s">
        <v>3113</v>
      </c>
      <c r="G629" s="1" t="str">
        <f t="array" ref="G629:G630">IF(ISBLANK(B629:B1422), "", XLOOKUP(B629:B1422, Sheet1!A629:A788, Sheet1!C629:C788, "Category Not Found", 0))</f>
        <v>#REF!</v>
      </c>
    </row>
    <row r="630">
      <c r="A630" s="1"/>
      <c r="B630" s="1" t="s">
        <v>3114</v>
      </c>
      <c r="C630" s="1" t="s">
        <v>3115</v>
      </c>
      <c r="D630" s="1" t="s">
        <v>3116</v>
      </c>
      <c r="E630" s="1" t="s">
        <v>3117</v>
      </c>
      <c r="F630" s="1" t="s">
        <v>3118</v>
      </c>
      <c r="G630" s="1" t="str">
        <f t="array" ref="G630:G631">IF(ISBLANK(B630:B1423), "", XLOOKUP(B630:B1423, Sheet1!A630:A789, Sheet1!C630:C789, "Category Not Found", 0))</f>
        <v>#REF!</v>
      </c>
    </row>
    <row r="631">
      <c r="A631" s="1"/>
      <c r="B631" s="1" t="s">
        <v>3119</v>
      </c>
      <c r="C631" s="1" t="s">
        <v>3120</v>
      </c>
      <c r="D631" s="1" t="s">
        <v>3121</v>
      </c>
      <c r="E631" s="1" t="s">
        <v>3122</v>
      </c>
      <c r="F631" s="1" t="s">
        <v>3123</v>
      </c>
      <c r="G631" s="1" t="str">
        <f t="array" ref="G631:G632">IF(ISBLANK(B631:B1424), "", XLOOKUP(B631:B1424, Sheet1!A631:A790, Sheet1!C631:C790, "Category Not Found", 0))</f>
        <v>#REF!</v>
      </c>
    </row>
    <row r="632">
      <c r="A632" s="1"/>
      <c r="B632" s="1" t="s">
        <v>3124</v>
      </c>
      <c r="C632" s="1" t="s">
        <v>3125</v>
      </c>
      <c r="D632" s="1" t="s">
        <v>3126</v>
      </c>
      <c r="E632" s="1" t="s">
        <v>3127</v>
      </c>
      <c r="F632" s="1" t="s">
        <v>3128</v>
      </c>
      <c r="G632" s="1" t="str">
        <f t="array" ref="G632:G633">IF(ISBLANK(B632:B1425), "", XLOOKUP(B632:B1425, Sheet1!A632:A791, Sheet1!C632:C791, "Category Not Found", 0))</f>
        <v>#REF!</v>
      </c>
    </row>
    <row r="633">
      <c r="A633" s="1"/>
      <c r="B633" s="1" t="s">
        <v>3129</v>
      </c>
      <c r="C633" s="1" t="s">
        <v>3130</v>
      </c>
      <c r="D633" s="1" t="s">
        <v>3131</v>
      </c>
      <c r="E633" s="1" t="s">
        <v>3132</v>
      </c>
      <c r="F633" s="1" t="s">
        <v>3133</v>
      </c>
      <c r="G633" s="1" t="str">
        <f t="array" ref="G633:G634">IF(ISBLANK(B633:B1426), "", XLOOKUP(B633:B1426, Sheet1!A633:A792, Sheet1!C633:C792, "Category Not Found", 0))</f>
        <v>#REF!</v>
      </c>
    </row>
    <row r="634">
      <c r="A634" s="1"/>
      <c r="B634" s="1" t="s">
        <v>3134</v>
      </c>
      <c r="C634" s="1" t="s">
        <v>3135</v>
      </c>
      <c r="D634" s="1" t="s">
        <v>3136</v>
      </c>
      <c r="E634" s="1" t="s">
        <v>3137</v>
      </c>
      <c r="F634" s="1" t="s">
        <v>3138</v>
      </c>
      <c r="G634" s="1" t="str">
        <f t="array" ref="G634:G635">IF(ISBLANK(B634:B1427), "", XLOOKUP(B634:B1427, Sheet1!A634:A793, Sheet1!C634:C793, "Category Not Found", 0))</f>
        <v>#REF!</v>
      </c>
    </row>
    <row r="635">
      <c r="A635" s="1"/>
      <c r="B635" s="1" t="s">
        <v>3139</v>
      </c>
      <c r="C635" s="1" t="s">
        <v>3140</v>
      </c>
      <c r="D635" s="1" t="s">
        <v>3141</v>
      </c>
      <c r="E635" s="1" t="s">
        <v>3142</v>
      </c>
      <c r="F635" s="1" t="s">
        <v>3143</v>
      </c>
      <c r="G635" s="1" t="str">
        <f t="array" ref="G635:G636">IF(ISBLANK(B635:B1428), "", XLOOKUP(B635:B1428, Sheet1!A635:A794, Sheet1!C635:C794, "Category Not Found", 0))</f>
        <v>#REF!</v>
      </c>
    </row>
    <row r="636">
      <c r="A636" s="1"/>
      <c r="B636" s="1" t="s">
        <v>3144</v>
      </c>
      <c r="C636" s="1" t="s">
        <v>3145</v>
      </c>
      <c r="D636" s="1" t="s">
        <v>3146</v>
      </c>
      <c r="E636" s="1" t="s">
        <v>3147</v>
      </c>
      <c r="F636" s="1" t="s">
        <v>3148</v>
      </c>
      <c r="G636" s="1" t="str">
        <f t="array" ref="G636:G637">IF(ISBLANK(B636:B1429), "", XLOOKUP(B636:B1429, Sheet1!A636:A795, Sheet1!C636:C795, "Category Not Found", 0))</f>
        <v>#REF!</v>
      </c>
    </row>
    <row r="637">
      <c r="A637" s="1"/>
      <c r="B637" s="1" t="s">
        <v>3149</v>
      </c>
      <c r="C637" s="1" t="s">
        <v>3150</v>
      </c>
      <c r="D637" s="1" t="s">
        <v>3151</v>
      </c>
      <c r="E637" s="1" t="s">
        <v>3152</v>
      </c>
      <c r="F637" s="1" t="s">
        <v>3153</v>
      </c>
      <c r="G637" s="1" t="str">
        <f t="array" ref="G637:G638">IF(ISBLANK(B637:B1430), "", XLOOKUP(B637:B1430, Sheet1!A637:A796, Sheet1!C637:C796, "Category Not Found", 0))</f>
        <v>#REF!</v>
      </c>
    </row>
    <row r="638">
      <c r="A638" s="1"/>
      <c r="B638" s="1" t="s">
        <v>3154</v>
      </c>
      <c r="C638" s="1" t="s">
        <v>3155</v>
      </c>
      <c r="D638" s="1" t="s">
        <v>3156</v>
      </c>
      <c r="E638" s="1" t="s">
        <v>3157</v>
      </c>
      <c r="F638" s="1" t="s">
        <v>3158</v>
      </c>
      <c r="G638" s="1" t="str">
        <f t="array" ref="G638:G639">IF(ISBLANK(B638:B1431), "", XLOOKUP(B638:B1431, Sheet1!A638:A797, Sheet1!C638:C797, "Category Not Found", 0))</f>
        <v>#REF!</v>
      </c>
    </row>
    <row r="639">
      <c r="A639" s="1"/>
      <c r="B639" s="1" t="s">
        <v>3159</v>
      </c>
      <c r="C639" s="1" t="s">
        <v>3160</v>
      </c>
      <c r="D639" s="1" t="s">
        <v>3161</v>
      </c>
      <c r="E639" s="1" t="s">
        <v>3162</v>
      </c>
      <c r="F639" s="1" t="s">
        <v>3163</v>
      </c>
      <c r="G639" s="1" t="str">
        <f t="array" ref="G639:G640">IF(ISBLANK(B639:B1432), "", XLOOKUP(B639:B1432, Sheet1!A639:A798, Sheet1!C639:C798, "Category Not Found", 0))</f>
        <v>#REF!</v>
      </c>
    </row>
    <row r="640">
      <c r="A640" s="1"/>
      <c r="B640" s="1" t="s">
        <v>3164</v>
      </c>
      <c r="C640" s="1" t="s">
        <v>3165</v>
      </c>
      <c r="D640" s="1" t="s">
        <v>3166</v>
      </c>
      <c r="E640" s="1" t="s">
        <v>3167</v>
      </c>
      <c r="F640" s="1" t="s">
        <v>3168</v>
      </c>
      <c r="G640" s="1" t="str">
        <f t="array" ref="G640:G641">IF(ISBLANK(B640:B1433), "", XLOOKUP(B640:B1433, Sheet1!A640:A799, Sheet1!C640:C799, "Category Not Found", 0))</f>
        <v>#REF!</v>
      </c>
    </row>
    <row r="641">
      <c r="A641" s="1"/>
      <c r="B641" s="1" t="s">
        <v>3169</v>
      </c>
      <c r="C641" s="1" t="s">
        <v>3170</v>
      </c>
      <c r="D641" s="1" t="s">
        <v>3171</v>
      </c>
      <c r="E641" s="1" t="s">
        <v>3172</v>
      </c>
      <c r="F641" s="1" t="s">
        <v>3173</v>
      </c>
      <c r="G641" s="1" t="str">
        <f t="array" ref="G641:G642">IF(ISBLANK(B641:B1434), "", XLOOKUP(B641:B1434, Sheet1!A641:A800, Sheet1!C641:C800, "Category Not Found", 0))</f>
        <v>#REF!</v>
      </c>
    </row>
    <row r="642">
      <c r="A642" s="1"/>
      <c r="B642" s="1" t="s">
        <v>3174</v>
      </c>
      <c r="C642" s="1" t="s">
        <v>3175</v>
      </c>
      <c r="D642" s="1" t="s">
        <v>3176</v>
      </c>
      <c r="E642" s="1" t="s">
        <v>3177</v>
      </c>
      <c r="F642" s="1" t="s">
        <v>3178</v>
      </c>
      <c r="G642" s="1" t="str">
        <f t="array" ref="G642:G643">IF(ISBLANK(B642:B1435), "", XLOOKUP(B642:B1435, Sheet1!A642:A801, Sheet1!C642:C801, "Category Not Found", 0))</f>
        <v>#REF!</v>
      </c>
    </row>
    <row r="643">
      <c r="A643" s="1"/>
      <c r="B643" s="1" t="s">
        <v>3179</v>
      </c>
      <c r="C643" s="1" t="s">
        <v>3180</v>
      </c>
      <c r="D643" s="1" t="s">
        <v>3181</v>
      </c>
      <c r="E643" s="1" t="s">
        <v>3182</v>
      </c>
      <c r="F643" s="1" t="s">
        <v>3183</v>
      </c>
      <c r="G643" s="1" t="str">
        <f t="array" ref="G643:G644">IF(ISBLANK(B643:B1436), "", XLOOKUP(B643:B1436, Sheet1!A643:A802, Sheet1!C643:C802, "Category Not Found", 0))</f>
        <v>#REF!</v>
      </c>
    </row>
    <row r="644">
      <c r="A644" s="1"/>
      <c r="B644" s="1" t="s">
        <v>3184</v>
      </c>
      <c r="C644" s="1" t="s">
        <v>3185</v>
      </c>
      <c r="D644" s="1" t="s">
        <v>3186</v>
      </c>
      <c r="E644" s="1" t="s">
        <v>3187</v>
      </c>
      <c r="F644" s="1" t="s">
        <v>3188</v>
      </c>
      <c r="G644" s="1" t="str">
        <f t="array" ref="G644:G645">IF(ISBLANK(B644:B1437), "", XLOOKUP(B644:B1437, Sheet1!A644:A803, Sheet1!C644:C803, "Category Not Found", 0))</f>
        <v>#REF!</v>
      </c>
    </row>
    <row r="645">
      <c r="A645" s="1"/>
      <c r="B645" s="1" t="s">
        <v>3189</v>
      </c>
      <c r="C645" s="1" t="s">
        <v>3190</v>
      </c>
      <c r="D645" s="1" t="s">
        <v>3191</v>
      </c>
      <c r="E645" s="1" t="s">
        <v>3192</v>
      </c>
      <c r="F645" s="1" t="s">
        <v>3193</v>
      </c>
      <c r="G645" s="1" t="str">
        <f t="array" ref="G645:G646">IF(ISBLANK(B645:B1438), "", XLOOKUP(B645:B1438, Sheet1!A645:A804, Sheet1!C645:C804, "Category Not Found", 0))</f>
        <v>#REF!</v>
      </c>
    </row>
    <row r="646">
      <c r="A646" s="1"/>
      <c r="B646" s="1" t="s">
        <v>3194</v>
      </c>
      <c r="C646" s="1" t="s">
        <v>3195</v>
      </c>
      <c r="D646" s="1" t="s">
        <v>3196</v>
      </c>
      <c r="E646" s="1" t="s">
        <v>3197</v>
      </c>
      <c r="F646" s="1" t="s">
        <v>3198</v>
      </c>
      <c r="G646" s="1" t="str">
        <f t="array" ref="G646:G647">IF(ISBLANK(B646:B1439), "", XLOOKUP(B646:B1439, Sheet1!A646:A805, Sheet1!C646:C805, "Category Not Found", 0))</f>
        <v>#REF!</v>
      </c>
    </row>
    <row r="647">
      <c r="A647" s="1"/>
      <c r="B647" s="1" t="s">
        <v>3199</v>
      </c>
      <c r="C647" s="1" t="s">
        <v>3200</v>
      </c>
      <c r="D647" s="1" t="s">
        <v>3201</v>
      </c>
      <c r="E647" s="1" t="s">
        <v>3202</v>
      </c>
      <c r="F647" s="1" t="s">
        <v>3203</v>
      </c>
      <c r="G647" s="1" t="str">
        <f t="array" ref="G647:G648">IF(ISBLANK(B647:B1440), "", XLOOKUP(B647:B1440, Sheet1!A647:A806, Sheet1!C647:C806, "Category Not Found", 0))</f>
        <v>#REF!</v>
      </c>
    </row>
    <row r="648">
      <c r="A648" s="1"/>
      <c r="B648" s="1" t="s">
        <v>3204</v>
      </c>
      <c r="C648" s="1" t="s">
        <v>3205</v>
      </c>
      <c r="D648" s="1" t="s">
        <v>3206</v>
      </c>
      <c r="E648" s="1" t="s">
        <v>3207</v>
      </c>
      <c r="F648" s="1" t="s">
        <v>3208</v>
      </c>
      <c r="G648" s="1" t="str">
        <f t="array" ref="G648:G649">IF(ISBLANK(B648:B1441), "", XLOOKUP(B648:B1441, Sheet1!A648:A807, Sheet1!C648:C807, "Category Not Found", 0))</f>
        <v>#REF!</v>
      </c>
    </row>
    <row r="649">
      <c r="A649" s="1"/>
      <c r="B649" s="1" t="s">
        <v>3209</v>
      </c>
      <c r="C649" s="1" t="s">
        <v>3210</v>
      </c>
      <c r="D649" s="1" t="s">
        <v>3211</v>
      </c>
      <c r="E649" s="1" t="s">
        <v>3212</v>
      </c>
      <c r="F649" s="1" t="s">
        <v>3213</v>
      </c>
      <c r="G649" s="1" t="str">
        <f t="array" ref="G649:G650">IF(ISBLANK(B649:B1442), "", XLOOKUP(B649:B1442, Sheet1!A649:A808, Sheet1!C649:C808, "Category Not Found", 0))</f>
        <v>#REF!</v>
      </c>
    </row>
    <row r="650">
      <c r="A650" s="1"/>
      <c r="B650" s="1" t="s">
        <v>3214</v>
      </c>
      <c r="C650" s="1" t="s">
        <v>3215</v>
      </c>
      <c r="D650" s="1" t="s">
        <v>3216</v>
      </c>
      <c r="E650" s="1" t="s">
        <v>3217</v>
      </c>
      <c r="F650" s="1" t="s">
        <v>3218</v>
      </c>
      <c r="G650" s="1" t="str">
        <f t="array" ref="G650:G651">IF(ISBLANK(B650:B1443), "", XLOOKUP(B650:B1443, Sheet1!A650:A809, Sheet1!C650:C809, "Category Not Found", 0))</f>
        <v>#REF!</v>
      </c>
    </row>
    <row r="651">
      <c r="A651" s="1"/>
      <c r="B651" s="1" t="s">
        <v>3219</v>
      </c>
      <c r="C651" s="1" t="s">
        <v>3220</v>
      </c>
      <c r="D651" s="1" t="s">
        <v>3221</v>
      </c>
      <c r="E651" s="1" t="s">
        <v>3222</v>
      </c>
      <c r="F651" s="1" t="s">
        <v>3223</v>
      </c>
      <c r="G651" s="1" t="str">
        <f t="array" ref="G651:G652">IF(ISBLANK(B651:B1444), "", XLOOKUP(B651:B1444, Sheet1!A651:A810, Sheet1!C651:C810, "Category Not Found", 0))</f>
        <v>#REF!</v>
      </c>
    </row>
    <row r="652">
      <c r="A652" s="1"/>
      <c r="B652" s="1" t="s">
        <v>3224</v>
      </c>
      <c r="C652" s="1" t="s">
        <v>3225</v>
      </c>
      <c r="D652" s="1" t="s">
        <v>3226</v>
      </c>
      <c r="E652" s="1" t="s">
        <v>3227</v>
      </c>
      <c r="F652" s="1" t="s">
        <v>3228</v>
      </c>
      <c r="G652" s="1" t="str">
        <f t="array" ref="G652:G653">IF(ISBLANK(B652:B1445), "", XLOOKUP(B652:B1445, Sheet1!A652:A811, Sheet1!C652:C811, "Category Not Found", 0))</f>
        <v>#REF!</v>
      </c>
    </row>
    <row r="653">
      <c r="A653" s="1" t="s">
        <v>5</v>
      </c>
      <c r="B653" s="1" t="s">
        <v>3229</v>
      </c>
      <c r="C653" s="1" t="s">
        <v>3230</v>
      </c>
      <c r="D653" s="1" t="s">
        <v>3231</v>
      </c>
      <c r="E653" s="1" t="s">
        <v>3232</v>
      </c>
      <c r="F653" s="1" t="s">
        <v>3233</v>
      </c>
      <c r="G653" s="1" t="str">
        <f t="array" ref="G653:G654">IF(ISBLANK(B653:B1446), "", XLOOKUP(B653:B1446, Sheet1!A653:A812, Sheet1!C653:C812, "Category Not Found", 0))</f>
        <v>#REF!</v>
      </c>
    </row>
    <row r="654">
      <c r="A654" s="1" t="str">
        <f>=XLOOKUP(B2&amp;E2, Sheet1!A2:A161&amp;Sheet1!B2:B161, Sheet1!C2:C161, "Category Not Found", 0)</f>
        <v>#ERROR!</v>
      </c>
      <c r="B654" s="1" t="s">
        <v>3234</v>
      </c>
      <c r="C654" s="1" t="s">
        <v>3235</v>
      </c>
      <c r="D654" s="1" t="s">
        <v>3236</v>
      </c>
      <c r="E654" s="1" t="s">
        <v>3237</v>
      </c>
      <c r="F654" s="1" t="s">
        <v>3238</v>
      </c>
      <c r="G654" s="1" t="str">
        <f t="array" ref="G654:G655">IF(ISBLANK(B654:B1447), "", XLOOKUP(B654:B1447, Sheet1!A654:A813, Sheet1!C654:C813, "Category Not Found", 0))</f>
        <v>#REF!</v>
      </c>
    </row>
    <row r="655">
      <c r="A655" s="1"/>
      <c r="B655" s="1" t="s">
        <v>3239</v>
      </c>
      <c r="C655" s="1" t="s">
        <v>3240</v>
      </c>
      <c r="D655" s="1" t="s">
        <v>3241</v>
      </c>
      <c r="E655" s="1" t="s">
        <v>3242</v>
      </c>
      <c r="F655" s="1" t="s">
        <v>3243</v>
      </c>
      <c r="G655" s="1" t="str">
        <f t="array" ref="G655:G656">IF(ISBLANK(B655:B1448), "", XLOOKUP(B655:B1448, Sheet1!A655:A814, Sheet1!C655:C814, "Category Not Found", 0))</f>
        <v>#REF!</v>
      </c>
    </row>
    <row r="656">
      <c r="A656" s="1"/>
      <c r="B656" s="1" t="s">
        <v>3244</v>
      </c>
      <c r="C656" s="1" t="s">
        <v>3245</v>
      </c>
      <c r="D656" s="1" t="s">
        <v>3246</v>
      </c>
      <c r="E656" s="1" t="s">
        <v>3247</v>
      </c>
      <c r="F656" s="1" t="s">
        <v>3248</v>
      </c>
      <c r="G656" s="1" t="str">
        <f t="array" ref="G656:G657">IF(ISBLANK(B656:B1449), "", XLOOKUP(B656:B1449, Sheet1!A656:A815, Sheet1!C656:C815, "Category Not Found", 0))</f>
        <v>#REF!</v>
      </c>
    </row>
    <row r="657">
      <c r="A657" s="1"/>
      <c r="B657" s="1" t="s">
        <v>3249</v>
      </c>
      <c r="C657" s="1" t="s">
        <v>3250</v>
      </c>
      <c r="D657" s="1" t="s">
        <v>3251</v>
      </c>
      <c r="E657" s="1" t="s">
        <v>3252</v>
      </c>
      <c r="F657" s="1" t="s">
        <v>3253</v>
      </c>
      <c r="G657" s="1" t="str">
        <f t="array" ref="G657:G658">IF(ISBLANK(B657:B1450), "", XLOOKUP(B657:B1450, Sheet1!A657:A816, Sheet1!C657:C816, "Category Not Found", 0))</f>
        <v>#REF!</v>
      </c>
    </row>
    <row r="658">
      <c r="A658" s="1"/>
      <c r="B658" s="1" t="s">
        <v>3254</v>
      </c>
      <c r="C658" s="1" t="s">
        <v>3255</v>
      </c>
      <c r="D658" s="1" t="s">
        <v>1844</v>
      </c>
      <c r="E658" s="1" t="s">
        <v>3256</v>
      </c>
      <c r="F658" s="1" t="s">
        <v>3257</v>
      </c>
      <c r="G658" s="1" t="str">
        <f t="array" ref="G658:G659">IF(ISBLANK(B658:B1451), "", XLOOKUP(B658:B1451, Sheet1!A658:A817, Sheet1!C658:C817, "Category Not Found", 0))</f>
        <v>#REF!</v>
      </c>
    </row>
    <row r="659">
      <c r="A659" s="1"/>
      <c r="B659" s="1" t="s">
        <v>3258</v>
      </c>
      <c r="C659" s="1" t="s">
        <v>3259</v>
      </c>
      <c r="D659" s="1" t="s">
        <v>3260</v>
      </c>
      <c r="E659" s="1" t="s">
        <v>3261</v>
      </c>
      <c r="F659" s="1" t="s">
        <v>3262</v>
      </c>
      <c r="G659" s="1" t="str">
        <f t="array" ref="G659:G660">IF(ISBLANK(B659:B1452), "", XLOOKUP(B659:B1452, Sheet1!A659:A818, Sheet1!C659:C818, "Category Not Found", 0))</f>
        <v>#REF!</v>
      </c>
    </row>
    <row r="660">
      <c r="A660" s="1"/>
      <c r="B660" s="1" t="s">
        <v>3263</v>
      </c>
      <c r="C660" s="1" t="s">
        <v>3264</v>
      </c>
      <c r="D660" s="1" t="s">
        <v>3265</v>
      </c>
      <c r="E660" s="1" t="s">
        <v>3266</v>
      </c>
      <c r="F660" s="1" t="s">
        <v>3267</v>
      </c>
      <c r="G660" s="1" t="str">
        <f t="array" ref="G660:G661">IF(ISBLANK(B660:B1453), "", XLOOKUP(B660:B1453, Sheet1!A660:A819, Sheet1!C660:C819, "Category Not Found", 0))</f>
        <v>#REF!</v>
      </c>
    </row>
    <row r="661">
      <c r="A661" s="1"/>
      <c r="B661" s="1" t="s">
        <v>3268</v>
      </c>
      <c r="C661" s="1" t="s">
        <v>3269</v>
      </c>
      <c r="D661" s="1" t="s">
        <v>3270</v>
      </c>
      <c r="E661" s="1" t="s">
        <v>3271</v>
      </c>
      <c r="F661" s="1" t="s">
        <v>3272</v>
      </c>
      <c r="G661" s="1" t="str">
        <f t="array" ref="G661:G662">IF(ISBLANK(B661:B1454), "", XLOOKUP(B661:B1454, Sheet1!A661:A820, Sheet1!C661:C820, "Category Not Found", 0))</f>
        <v>#REF!</v>
      </c>
    </row>
    <row r="662">
      <c r="A662" s="1"/>
      <c r="B662" s="1" t="s">
        <v>3273</v>
      </c>
      <c r="C662" s="1" t="s">
        <v>3274</v>
      </c>
      <c r="D662" s="1" t="s">
        <v>3275</v>
      </c>
      <c r="E662" s="1" t="s">
        <v>3276</v>
      </c>
      <c r="F662" s="1" t="s">
        <v>3277</v>
      </c>
      <c r="G662" s="1" t="str">
        <f t="array" ref="G662:G663">IF(ISBLANK(B662:B1455), "", XLOOKUP(B662:B1455, Sheet1!A662:A821, Sheet1!C662:C821, "Category Not Found", 0))</f>
        <v>#REF!</v>
      </c>
    </row>
    <row r="663">
      <c r="A663" s="1"/>
      <c r="B663" s="1" t="s">
        <v>3278</v>
      </c>
      <c r="C663" s="1" t="s">
        <v>3279</v>
      </c>
      <c r="D663" s="1" t="s">
        <v>3280</v>
      </c>
      <c r="E663" s="1" t="s">
        <v>3281</v>
      </c>
      <c r="F663" s="1" t="s">
        <v>3282</v>
      </c>
      <c r="G663" s="1" t="str">
        <f t="array" ref="G663:G664">IF(ISBLANK(B663:B1456), "", XLOOKUP(B663:B1456, Sheet1!A663:A822, Sheet1!C663:C822, "Category Not Found", 0))</f>
        <v>#REF!</v>
      </c>
    </row>
    <row r="664">
      <c r="A664" s="1"/>
      <c r="B664" s="1" t="s">
        <v>3283</v>
      </c>
      <c r="C664" s="1" t="s">
        <v>3284</v>
      </c>
      <c r="D664" s="1" t="s">
        <v>3285</v>
      </c>
      <c r="E664" s="1" t="s">
        <v>3286</v>
      </c>
      <c r="F664" s="1" t="s">
        <v>3287</v>
      </c>
      <c r="G664" s="1" t="str">
        <f t="array" ref="G664:G665">IF(ISBLANK(B664:B1457), "", XLOOKUP(B664:B1457, Sheet1!A664:A823, Sheet1!C664:C823, "Category Not Found", 0))</f>
        <v>#REF!</v>
      </c>
    </row>
    <row r="665">
      <c r="A665" s="1"/>
      <c r="B665" s="1" t="s">
        <v>3288</v>
      </c>
      <c r="C665" s="1" t="s">
        <v>3289</v>
      </c>
      <c r="D665" s="1" t="s">
        <v>3290</v>
      </c>
      <c r="E665" s="1" t="s">
        <v>3291</v>
      </c>
      <c r="F665" s="1" t="s">
        <v>3292</v>
      </c>
      <c r="G665" s="1" t="str">
        <f t="array" ref="G665:G666">IF(ISBLANK(B665:B1458), "", XLOOKUP(B665:B1458, Sheet1!A665:A824, Sheet1!C665:C824, "Category Not Found", 0))</f>
        <v>#REF!</v>
      </c>
    </row>
    <row r="666">
      <c r="A666" s="1"/>
      <c r="B666" s="1" t="s">
        <v>3293</v>
      </c>
      <c r="C666" s="1" t="s">
        <v>3294</v>
      </c>
      <c r="D666" s="1" t="s">
        <v>3295</v>
      </c>
      <c r="E666" s="1" t="s">
        <v>3296</v>
      </c>
      <c r="F666" s="1" t="s">
        <v>3297</v>
      </c>
      <c r="G666" s="1" t="str">
        <f t="array" ref="G666:G667">IF(ISBLANK(B666:B1459), "", XLOOKUP(B666:B1459, Sheet1!A666:A825, Sheet1!C666:C825, "Category Not Found", 0))</f>
        <v>#REF!</v>
      </c>
    </row>
    <row r="667">
      <c r="A667" s="1"/>
      <c r="B667" s="1" t="s">
        <v>3298</v>
      </c>
      <c r="C667" s="1" t="s">
        <v>3299</v>
      </c>
      <c r="D667" s="1" t="s">
        <v>3300</v>
      </c>
      <c r="E667" s="1" t="s">
        <v>3301</v>
      </c>
      <c r="F667" s="1" t="s">
        <v>3302</v>
      </c>
      <c r="G667" s="1" t="str">
        <f t="array" ref="G667:G668">IF(ISBLANK(B667:B1460), "", XLOOKUP(B667:B1460, Sheet1!A667:A826, Sheet1!C667:C826, "Category Not Found", 0))</f>
        <v>#REF!</v>
      </c>
    </row>
    <row r="668">
      <c r="A668" s="1"/>
      <c r="B668" s="1" t="s">
        <v>3303</v>
      </c>
      <c r="C668" s="1" t="s">
        <v>3304</v>
      </c>
      <c r="D668" s="1" t="s">
        <v>3305</v>
      </c>
      <c r="E668" s="1" t="s">
        <v>3306</v>
      </c>
      <c r="F668" s="1" t="s">
        <v>3307</v>
      </c>
      <c r="G668" s="1" t="str">
        <f t="array" ref="G668:G669">IF(ISBLANK(B668:B1461), "", XLOOKUP(B668:B1461, Sheet1!A668:A827, Sheet1!C668:C827, "Category Not Found", 0))</f>
        <v>#REF!</v>
      </c>
    </row>
    <row r="669">
      <c r="A669" s="1"/>
      <c r="B669" s="1" t="s">
        <v>3308</v>
      </c>
      <c r="C669" s="1" t="s">
        <v>3309</v>
      </c>
      <c r="D669" s="1" t="s">
        <v>3310</v>
      </c>
      <c r="E669" s="1" t="s">
        <v>3311</v>
      </c>
      <c r="F669" s="1" t="s">
        <v>3312</v>
      </c>
      <c r="G669" s="1" t="str">
        <f t="array" ref="G669:G670">IF(ISBLANK(B669:B1462), "", XLOOKUP(B669:B1462, Sheet1!A669:A828, Sheet1!C669:C828, "Category Not Found", 0))</f>
        <v>#REF!</v>
      </c>
    </row>
    <row r="670">
      <c r="A670" s="1"/>
      <c r="B670" s="1" t="s">
        <v>3313</v>
      </c>
      <c r="C670" s="1" t="s">
        <v>3314</v>
      </c>
      <c r="D670" s="1" t="s">
        <v>3315</v>
      </c>
      <c r="E670" s="1" t="s">
        <v>3316</v>
      </c>
      <c r="F670" s="1" t="s">
        <v>3317</v>
      </c>
      <c r="G670" s="1" t="str">
        <f t="array" ref="G670:G671">IF(ISBLANK(B670:B1463), "", XLOOKUP(B670:B1463, Sheet1!A670:A829, Sheet1!C670:C829, "Category Not Found", 0))</f>
        <v>#REF!</v>
      </c>
    </row>
    <row r="671">
      <c r="A671" s="1"/>
      <c r="B671" s="1" t="s">
        <v>3318</v>
      </c>
      <c r="C671" s="1" t="s">
        <v>3319</v>
      </c>
      <c r="D671" s="1" t="s">
        <v>3315</v>
      </c>
      <c r="E671" s="1" t="s">
        <v>3320</v>
      </c>
      <c r="F671" s="1" t="s">
        <v>3321</v>
      </c>
      <c r="G671" s="1" t="str">
        <f t="array" ref="G671:G672">IF(ISBLANK(B671:B1464), "", XLOOKUP(B671:B1464, Sheet1!A671:A830, Sheet1!C671:C830, "Category Not Found", 0))</f>
        <v>#REF!</v>
      </c>
    </row>
    <row r="672">
      <c r="A672" s="1"/>
      <c r="B672" s="1" t="s">
        <v>3322</v>
      </c>
      <c r="C672" s="1" t="s">
        <v>3323</v>
      </c>
      <c r="D672" s="1" t="s">
        <v>3324</v>
      </c>
      <c r="E672" s="1" t="s">
        <v>3325</v>
      </c>
      <c r="F672" s="1" t="s">
        <v>3326</v>
      </c>
      <c r="G672" s="1" t="str">
        <f t="array" ref="G672:G673">IF(ISBLANK(B672:B1465), "", XLOOKUP(B672:B1465, Sheet1!A672:A831, Sheet1!C672:C831, "Category Not Found", 0))</f>
        <v>#REF!</v>
      </c>
    </row>
    <row r="673">
      <c r="A673" s="1"/>
      <c r="B673" s="1" t="s">
        <v>3327</v>
      </c>
      <c r="C673" s="1" t="s">
        <v>3328</v>
      </c>
      <c r="D673" s="1" t="s">
        <v>3329</v>
      </c>
      <c r="E673" s="1" t="s">
        <v>3330</v>
      </c>
      <c r="F673" s="1" t="s">
        <v>3331</v>
      </c>
      <c r="G673" s="1" t="str">
        <f t="array" ref="G673:G674">IF(ISBLANK(B673:B1466), "", XLOOKUP(B673:B1466, Sheet1!A673:A832, Sheet1!C673:C832, "Category Not Found", 0))</f>
        <v>#REF!</v>
      </c>
    </row>
    <row r="674">
      <c r="A674" s="1"/>
      <c r="B674" s="1" t="s">
        <v>3332</v>
      </c>
      <c r="C674" s="1" t="s">
        <v>3333</v>
      </c>
      <c r="D674" s="1" t="s">
        <v>3334</v>
      </c>
      <c r="E674" s="1" t="s">
        <v>3335</v>
      </c>
      <c r="F674" s="1" t="s">
        <v>3336</v>
      </c>
      <c r="G674" s="1" t="str">
        <f t="array" ref="G674:G675">IF(ISBLANK(B674:B1467), "", XLOOKUP(B674:B1467, Sheet1!A674:A833, Sheet1!C674:C833, "Category Not Found", 0))</f>
        <v>#REF!</v>
      </c>
    </row>
    <row r="675">
      <c r="A675" s="1"/>
      <c r="B675" s="1" t="s">
        <v>3337</v>
      </c>
      <c r="C675" s="1" t="s">
        <v>3338</v>
      </c>
      <c r="D675" s="1" t="s">
        <v>3339</v>
      </c>
      <c r="E675" s="1" t="s">
        <v>3340</v>
      </c>
      <c r="F675" s="1" t="s">
        <v>3341</v>
      </c>
      <c r="G675" s="1" t="str">
        <f t="array" ref="G675:G676">IF(ISBLANK(B675:B1468), "", XLOOKUP(B675:B1468, Sheet1!A675:A834, Sheet1!C675:C834, "Category Not Found", 0))</f>
        <v>#REF!</v>
      </c>
    </row>
    <row r="676">
      <c r="A676" s="1"/>
      <c r="B676" s="1" t="s">
        <v>3342</v>
      </c>
      <c r="C676" s="1" t="s">
        <v>3343</v>
      </c>
      <c r="D676" s="1" t="s">
        <v>3344</v>
      </c>
      <c r="E676" s="1" t="s">
        <v>3345</v>
      </c>
      <c r="F676" s="1" t="s">
        <v>3346</v>
      </c>
      <c r="G676" s="1" t="str">
        <f t="array" ref="G676:G677">IF(ISBLANK(B676:B1469), "", XLOOKUP(B676:B1469, Sheet1!A676:A835, Sheet1!C676:C835, "Category Not Found", 0))</f>
        <v>#REF!</v>
      </c>
    </row>
    <row r="677">
      <c r="A677" s="1"/>
      <c r="B677" s="1" t="s">
        <v>3347</v>
      </c>
      <c r="C677" s="1" t="s">
        <v>3348</v>
      </c>
      <c r="D677" s="1" t="s">
        <v>3349</v>
      </c>
      <c r="E677" s="1" t="s">
        <v>3350</v>
      </c>
      <c r="F677" s="1" t="s">
        <v>3351</v>
      </c>
      <c r="G677" s="1" t="str">
        <f t="array" ref="G677:G678">IF(ISBLANK(B677:B1470), "", XLOOKUP(B677:B1470, Sheet1!A677:A836, Sheet1!C677:C836, "Category Not Found", 0))</f>
        <v>#REF!</v>
      </c>
    </row>
    <row r="678">
      <c r="A678" s="1"/>
      <c r="B678" s="1" t="s">
        <v>3352</v>
      </c>
      <c r="C678" s="1" t="s">
        <v>3353</v>
      </c>
      <c r="D678" s="1" t="s">
        <v>3354</v>
      </c>
      <c r="E678" s="1" t="s">
        <v>3355</v>
      </c>
      <c r="F678" s="1" t="s">
        <v>3356</v>
      </c>
      <c r="G678" s="1" t="str">
        <f t="array" ref="G678:G679">IF(ISBLANK(B678:B1471), "", XLOOKUP(B678:B1471, Sheet1!A678:A837, Sheet1!C678:C837, "Category Not Found", 0))</f>
        <v>#REF!</v>
      </c>
    </row>
    <row r="679">
      <c r="A679" s="1"/>
      <c r="B679" s="1" t="s">
        <v>3357</v>
      </c>
      <c r="C679" s="1" t="s">
        <v>3358</v>
      </c>
      <c r="D679" s="1" t="s">
        <v>3359</v>
      </c>
      <c r="E679" s="1" t="s">
        <v>3360</v>
      </c>
      <c r="F679" s="1" t="s">
        <v>3361</v>
      </c>
      <c r="G679" s="1" t="str">
        <f t="array" ref="G679:G680">IF(ISBLANK(B679:B1472), "", XLOOKUP(B679:B1472, Sheet1!A679:A838, Sheet1!C679:C838, "Category Not Found", 0))</f>
        <v>#REF!</v>
      </c>
    </row>
    <row r="680">
      <c r="A680" s="1"/>
      <c r="B680" s="1" t="s">
        <v>3362</v>
      </c>
      <c r="C680" s="1" t="s">
        <v>3363</v>
      </c>
      <c r="D680" s="1" t="s">
        <v>3364</v>
      </c>
      <c r="E680" s="1" t="s">
        <v>3365</v>
      </c>
      <c r="F680" s="1" t="s">
        <v>3366</v>
      </c>
      <c r="G680" s="1" t="str">
        <f t="array" ref="G680:G681">IF(ISBLANK(B680:B1473), "", XLOOKUP(B680:B1473, Sheet1!A680:A839, Sheet1!C680:C839, "Category Not Found", 0))</f>
        <v>#REF!</v>
      </c>
    </row>
    <row r="681">
      <c r="A681" s="1"/>
      <c r="B681" s="1" t="s">
        <v>3367</v>
      </c>
      <c r="C681" s="1" t="s">
        <v>3368</v>
      </c>
      <c r="D681" s="1" t="s">
        <v>3369</v>
      </c>
      <c r="E681" s="1" t="s">
        <v>3370</v>
      </c>
      <c r="F681" s="1" t="s">
        <v>3371</v>
      </c>
      <c r="G681" s="1" t="str">
        <f t="array" ref="G681:G682">IF(ISBLANK(B681:B1474), "", XLOOKUP(B681:B1474, Sheet1!A681:A840, Sheet1!C681:C840, "Category Not Found", 0))</f>
        <v>#REF!</v>
      </c>
    </row>
    <row r="682">
      <c r="A682" s="1"/>
      <c r="B682" s="1" t="s">
        <v>3372</v>
      </c>
      <c r="C682" s="1" t="s">
        <v>3373</v>
      </c>
      <c r="D682" s="1" t="s">
        <v>3374</v>
      </c>
      <c r="E682" s="1" t="s">
        <v>3375</v>
      </c>
      <c r="F682" s="1" t="s">
        <v>3376</v>
      </c>
      <c r="G682" s="1" t="str">
        <f t="array" ref="G682:G683">IF(ISBLANK(B682:B1475), "", XLOOKUP(B682:B1475, Sheet1!A682:A841, Sheet1!C682:C841, "Category Not Found", 0))</f>
        <v>#REF!</v>
      </c>
    </row>
    <row r="683">
      <c r="A683" s="1"/>
      <c r="B683" s="1" t="s">
        <v>3377</v>
      </c>
      <c r="C683" s="1" t="s">
        <v>3378</v>
      </c>
      <c r="D683" s="1" t="s">
        <v>3379</v>
      </c>
      <c r="E683" s="1" t="s">
        <v>3380</v>
      </c>
      <c r="F683" s="1" t="s">
        <v>3381</v>
      </c>
      <c r="G683" s="1" t="str">
        <f t="array" ref="G683:G684">IF(ISBLANK(B683:B1476), "", XLOOKUP(B683:B1476, Sheet1!A683:A842, Sheet1!C683:C842, "Category Not Found", 0))</f>
        <v>#REF!</v>
      </c>
    </row>
    <row r="684">
      <c r="A684" s="1"/>
      <c r="B684" s="1" t="s">
        <v>3382</v>
      </c>
      <c r="C684" s="1" t="s">
        <v>3383</v>
      </c>
      <c r="D684" s="1" t="s">
        <v>3384</v>
      </c>
      <c r="E684" s="1" t="s">
        <v>3385</v>
      </c>
      <c r="F684" s="1" t="s">
        <v>3386</v>
      </c>
      <c r="G684" s="1" t="str">
        <f t="array" ref="G684:G685">IF(ISBLANK(B684:B1477), "", XLOOKUP(B684:B1477, Sheet1!A684:A843, Sheet1!C684:C843, "Category Not Found", 0))</f>
        <v>#REF!</v>
      </c>
    </row>
    <row r="685">
      <c r="A685" s="1"/>
      <c r="B685" s="1" t="s">
        <v>3387</v>
      </c>
      <c r="C685" s="1" t="s">
        <v>3388</v>
      </c>
      <c r="D685" s="1" t="s">
        <v>3389</v>
      </c>
      <c r="E685" s="1" t="s">
        <v>3390</v>
      </c>
      <c r="F685" s="1" t="s">
        <v>3391</v>
      </c>
      <c r="G685" s="1" t="str">
        <f t="array" ref="G685:G686">IF(ISBLANK(B685:B1478), "", XLOOKUP(B685:B1478, Sheet1!A685:A844, Sheet1!C685:C844, "Category Not Found", 0))</f>
        <v>#REF!</v>
      </c>
    </row>
    <row r="686">
      <c r="A686" s="1"/>
      <c r="B686" s="1" t="s">
        <v>3392</v>
      </c>
      <c r="C686" s="1" t="s">
        <v>3393</v>
      </c>
      <c r="D686" s="1" t="s">
        <v>3394</v>
      </c>
      <c r="E686" s="1" t="s">
        <v>3395</v>
      </c>
      <c r="F686" s="1" t="s">
        <v>3396</v>
      </c>
      <c r="G686" s="1" t="str">
        <f t="array" ref="G686:G687">IF(ISBLANK(B686:B1479), "", XLOOKUP(B686:B1479, Sheet1!A686:A845, Sheet1!C686:C845, "Category Not Found", 0))</f>
        <v>#REF!</v>
      </c>
    </row>
    <row r="687">
      <c r="A687" s="1"/>
      <c r="B687" s="1" t="s">
        <v>3397</v>
      </c>
      <c r="C687" s="1" t="s">
        <v>3398</v>
      </c>
      <c r="D687" s="1" t="s">
        <v>3399</v>
      </c>
      <c r="E687" s="1" t="s">
        <v>3400</v>
      </c>
      <c r="F687" s="1" t="s">
        <v>3401</v>
      </c>
      <c r="G687" s="1" t="str">
        <f t="array" ref="G687:G688">IF(ISBLANK(B687:B1480), "", XLOOKUP(B687:B1480, Sheet1!A687:A846, Sheet1!C687:C846, "Category Not Found", 0))</f>
        <v>#REF!</v>
      </c>
    </row>
    <row r="688">
      <c r="A688" s="1"/>
      <c r="B688" s="1" t="s">
        <v>3402</v>
      </c>
      <c r="C688" s="1" t="s">
        <v>3403</v>
      </c>
      <c r="D688" s="1" t="s">
        <v>3404</v>
      </c>
      <c r="E688" s="1" t="s">
        <v>3405</v>
      </c>
      <c r="F688" s="1" t="s">
        <v>3406</v>
      </c>
      <c r="G688" s="1" t="str">
        <f t="array" ref="G688:G689">IF(ISBLANK(B688:B1481), "", XLOOKUP(B688:B1481, Sheet1!A688:A847, Sheet1!C688:C847, "Category Not Found", 0))</f>
        <v>#REF!</v>
      </c>
    </row>
    <row r="689">
      <c r="A689" s="1"/>
      <c r="B689" s="1" t="s">
        <v>3407</v>
      </c>
      <c r="C689" s="1" t="s">
        <v>3398</v>
      </c>
      <c r="D689" s="1" t="s">
        <v>3408</v>
      </c>
      <c r="E689" s="1" t="s">
        <v>3405</v>
      </c>
      <c r="F689" s="1" t="s">
        <v>3409</v>
      </c>
      <c r="G689" s="1" t="str">
        <f t="array" ref="G689:G690">IF(ISBLANK(B689:B1482), "", XLOOKUP(B689:B1482, Sheet1!A689:A848, Sheet1!C689:C848, "Category Not Found", 0))</f>
        <v>#REF!</v>
      </c>
    </row>
    <row r="690">
      <c r="A690" s="1"/>
      <c r="B690" s="1" t="s">
        <v>3410</v>
      </c>
      <c r="C690" s="1" t="s">
        <v>3411</v>
      </c>
      <c r="D690" s="1" t="s">
        <v>3412</v>
      </c>
      <c r="E690" s="1" t="s">
        <v>3413</v>
      </c>
      <c r="F690" s="1" t="s">
        <v>3414</v>
      </c>
      <c r="G690" s="1" t="str">
        <f t="array" ref="G690:G691">IF(ISBLANK(B690:B1483), "", XLOOKUP(B690:B1483, Sheet1!A690:A849, Sheet1!C690:C849, "Category Not Found", 0))</f>
        <v>#REF!</v>
      </c>
    </row>
    <row r="691">
      <c r="A691" s="1"/>
      <c r="B691" s="1" t="s">
        <v>3415</v>
      </c>
      <c r="C691" s="1" t="s">
        <v>3416</v>
      </c>
      <c r="D691" s="1" t="s">
        <v>3417</v>
      </c>
      <c r="E691" s="1" t="s">
        <v>3418</v>
      </c>
      <c r="F691" s="1" t="s">
        <v>3419</v>
      </c>
      <c r="G691" s="1" t="str">
        <f t="array" ref="G691:G692">IF(ISBLANK(B691:B1484), "", XLOOKUP(B691:B1484, Sheet1!A691:A850, Sheet1!C691:C850, "Category Not Found", 0))</f>
        <v>#REF!</v>
      </c>
    </row>
    <row r="692">
      <c r="A692" s="1"/>
      <c r="B692" s="1" t="s">
        <v>3420</v>
      </c>
      <c r="C692" s="1" t="s">
        <v>3421</v>
      </c>
      <c r="D692" s="1" t="s">
        <v>3422</v>
      </c>
      <c r="E692" s="1" t="s">
        <v>3423</v>
      </c>
      <c r="F692" s="1" t="s">
        <v>3424</v>
      </c>
      <c r="G692" s="1" t="str">
        <f t="array" ref="G692:G693">IF(ISBLANK(B692:B1485), "", XLOOKUP(B692:B1485, Sheet1!A692:A851, Sheet1!C692:C851, "Category Not Found", 0))</f>
        <v>#REF!</v>
      </c>
    </row>
    <row r="693">
      <c r="A693" s="1"/>
      <c r="B693" s="1" t="s">
        <v>3425</v>
      </c>
      <c r="C693" s="1" t="s">
        <v>3426</v>
      </c>
      <c r="D693" s="1" t="s">
        <v>3427</v>
      </c>
      <c r="E693" s="1" t="s">
        <v>3428</v>
      </c>
      <c r="F693" s="1" t="s">
        <v>3429</v>
      </c>
      <c r="G693" s="1" t="str">
        <f t="array" ref="G693:G694">IF(ISBLANK(B693:B1486), "", XLOOKUP(B693:B1486, Sheet1!A693:A852, Sheet1!C693:C852, "Category Not Found", 0))</f>
        <v>#REF!</v>
      </c>
    </row>
    <row r="694">
      <c r="A694" s="1"/>
      <c r="B694" s="1" t="s">
        <v>3430</v>
      </c>
      <c r="C694" s="1" t="s">
        <v>3431</v>
      </c>
      <c r="D694" s="1" t="s">
        <v>3432</v>
      </c>
      <c r="E694" s="1" t="s">
        <v>3433</v>
      </c>
      <c r="F694" s="1" t="s">
        <v>3434</v>
      </c>
      <c r="G694" s="1" t="str">
        <f t="array" ref="G694:G695">IF(ISBLANK(B694:B1487), "", XLOOKUP(B694:B1487, Sheet1!A694:A853, Sheet1!C694:C853, "Category Not Found", 0))</f>
        <v>#REF!</v>
      </c>
    </row>
    <row r="695">
      <c r="A695" s="1"/>
      <c r="B695" s="1" t="s">
        <v>3435</v>
      </c>
      <c r="C695" s="1" t="s">
        <v>3436</v>
      </c>
      <c r="D695" s="1" t="s">
        <v>3437</v>
      </c>
      <c r="E695" s="1" t="s">
        <v>3438</v>
      </c>
      <c r="F695" s="1" t="s">
        <v>3439</v>
      </c>
      <c r="G695" s="1" t="str">
        <f t="array" ref="G695:G696">IF(ISBLANK(B695:B1488), "", XLOOKUP(B695:B1488, Sheet1!A695:A854, Sheet1!C695:C854, "Category Not Found", 0))</f>
        <v>#REF!</v>
      </c>
    </row>
    <row r="696">
      <c r="A696" s="1"/>
      <c r="B696" s="1" t="s">
        <v>3440</v>
      </c>
      <c r="C696" s="1" t="s">
        <v>3426</v>
      </c>
      <c r="D696" s="1" t="s">
        <v>3427</v>
      </c>
      <c r="E696" s="1" t="s">
        <v>3428</v>
      </c>
      <c r="F696" s="1" t="s">
        <v>3441</v>
      </c>
      <c r="G696" s="1" t="str">
        <f t="array" ref="G696:G697">IF(ISBLANK(B696:B1489), "", XLOOKUP(B696:B1489, Sheet1!A696:A855, Sheet1!C696:C855, "Category Not Found", 0))</f>
        <v>#REF!</v>
      </c>
    </row>
    <row r="697">
      <c r="A697" s="3"/>
      <c r="B697" s="3" t="s">
        <v>3442</v>
      </c>
      <c r="C697" s="3" t="s">
        <v>3443</v>
      </c>
      <c r="D697" s="3" t="s">
        <v>3444</v>
      </c>
      <c r="E697" s="3" t="s">
        <v>3445</v>
      </c>
      <c r="F697" s="3" t="s">
        <v>3446</v>
      </c>
      <c r="G697" s="3" t="str">
        <f t="array" ref="G697:G698">IF(ISBLANK(B697:B1490), "", XLOOKUP(B697:B1490, Sheet1!A697:A856, Sheet1!C697:C856, "Category Not Found", 0))</f>
        <v>#REF!</v>
      </c>
    </row>
    <row r="698">
      <c r="A698" s="3"/>
      <c r="B698" s="3" t="s">
        <v>3447</v>
      </c>
      <c r="C698" s="3" t="s">
        <v>3448</v>
      </c>
      <c r="D698" s="3" t="s">
        <v>3449</v>
      </c>
      <c r="E698" s="3" t="s">
        <v>3450</v>
      </c>
      <c r="F698" s="3" t="s">
        <v>3451</v>
      </c>
      <c r="G698" s="3" t="str">
        <f t="array" ref="G698:G699">IF(ISBLANK(B698:B1491), "", XLOOKUP(B698:B1491, Sheet1!A698:A857, Sheet1!C698:C857, "Category Not Found", 0))</f>
        <v>#REF!</v>
      </c>
    </row>
    <row r="699">
      <c r="A699" s="3"/>
      <c r="B699" s="3" t="s">
        <v>3452</v>
      </c>
      <c r="C699" s="3" t="s">
        <v>3453</v>
      </c>
      <c r="D699" s="3" t="s">
        <v>3454</v>
      </c>
      <c r="E699" s="3" t="s">
        <v>3455</v>
      </c>
      <c r="F699" s="3" t="s">
        <v>3456</v>
      </c>
      <c r="G699" s="3" t="str">
        <f t="array" ref="G699:G700">IF(ISBLANK(B699:B1492), "", XLOOKUP(B699:B1492, Sheet1!A699:A858, Sheet1!C699:C858, "Category Not Found", 0))</f>
        <v>#REF!</v>
      </c>
    </row>
    <row r="700">
      <c r="A700" s="3"/>
      <c r="B700" s="3" t="s">
        <v>3457</v>
      </c>
      <c r="C700" s="3" t="s">
        <v>3458</v>
      </c>
      <c r="D700" s="3" t="s">
        <v>3459</v>
      </c>
      <c r="E700" s="3" t="s">
        <v>3460</v>
      </c>
      <c r="F700" s="3" t="s">
        <v>3461</v>
      </c>
      <c r="G700" s="3" t="str">
        <f t="array" ref="G700:G701">IF(ISBLANK(B700:B1493), "", XLOOKUP(B700:B1493, Sheet1!A700:A859, Sheet1!C700:C859, "Category Not Found", 0))</f>
        <v>#REF!</v>
      </c>
    </row>
    <row r="701">
      <c r="A701" s="3"/>
      <c r="B701" s="3" t="s">
        <v>3462</v>
      </c>
      <c r="C701" s="3" t="s">
        <v>3463</v>
      </c>
      <c r="D701" s="3" t="s">
        <v>3464</v>
      </c>
      <c r="E701" s="3" t="s">
        <v>3465</v>
      </c>
      <c r="F701" s="3" t="s">
        <v>3466</v>
      </c>
      <c r="G701" s="3" t="str">
        <f t="array" ref="G701:G702">IF(ISBLANK(B701:B1494), "", XLOOKUP(B701:B1494, Sheet1!A701:A860, Sheet1!C701:C860, "Category Not Found", 0))</f>
        <v>#REF!</v>
      </c>
    </row>
    <row r="702">
      <c r="A702" s="3"/>
      <c r="B702" s="3" t="s">
        <v>3467</v>
      </c>
      <c r="C702" s="3" t="s">
        <v>3468</v>
      </c>
      <c r="D702" s="3" t="s">
        <v>3469</v>
      </c>
      <c r="E702" s="3" t="s">
        <v>3470</v>
      </c>
      <c r="F702" s="3" t="s">
        <v>3471</v>
      </c>
      <c r="G702" s="3" t="str">
        <f t="array" ref="G702:G703">IF(ISBLANK(B702:B1495), "", XLOOKUP(B702:B1495, Sheet1!A702:A861, Sheet1!C702:C861, "Category Not Found", 0))</f>
        <v>#REF!</v>
      </c>
    </row>
    <row r="703">
      <c r="A703" s="3"/>
      <c r="B703" s="3" t="s">
        <v>3472</v>
      </c>
      <c r="C703" s="3" t="s">
        <v>3473</v>
      </c>
      <c r="D703" s="3" t="s">
        <v>3474</v>
      </c>
      <c r="E703" s="3" t="s">
        <v>3475</v>
      </c>
      <c r="F703" s="3" t="s">
        <v>3476</v>
      </c>
      <c r="G703" s="3" t="str">
        <f t="array" ref="G703:G704">IF(ISBLANK(B703:B1496), "", XLOOKUP(B703:B1496, Sheet1!A703:A862, Sheet1!C703:C862, "Category Not Found", 0))</f>
        <v>#REF!</v>
      </c>
    </row>
    <row r="704">
      <c r="A704" s="3"/>
      <c r="B704" s="3" t="s">
        <v>3477</v>
      </c>
      <c r="C704" s="3" t="s">
        <v>3478</v>
      </c>
      <c r="D704" s="3" t="s">
        <v>3479</v>
      </c>
      <c r="E704" s="3" t="s">
        <v>3480</v>
      </c>
      <c r="F704" s="3" t="s">
        <v>3481</v>
      </c>
      <c r="G704" s="3" t="str">
        <f t="array" ref="G704:G705">IF(ISBLANK(B704:B1497), "", XLOOKUP(B704:B1497, Sheet1!A704:A863, Sheet1!C704:C863, "Category Not Found", 0))</f>
        <v>#REF!</v>
      </c>
    </row>
    <row r="705">
      <c r="A705" s="3"/>
      <c r="B705" s="3" t="s">
        <v>3482</v>
      </c>
      <c r="C705" s="3" t="s">
        <v>3483</v>
      </c>
      <c r="D705" s="3" t="s">
        <v>3484</v>
      </c>
      <c r="E705" s="3" t="s">
        <v>3485</v>
      </c>
      <c r="F705" s="3" t="s">
        <v>3486</v>
      </c>
      <c r="G705" s="3" t="str">
        <f t="array" ref="G705:G706">IF(ISBLANK(B705:B1498), "", XLOOKUP(B705:B1498, Sheet1!A705:A864, Sheet1!C705:C864, "Category Not Found", 0))</f>
        <v>#REF!</v>
      </c>
    </row>
    <row r="706">
      <c r="A706" s="3"/>
      <c r="B706" s="3" t="s">
        <v>3487</v>
      </c>
      <c r="C706" s="3" t="s">
        <v>3488</v>
      </c>
      <c r="D706" s="3" t="s">
        <v>3489</v>
      </c>
      <c r="E706" s="3" t="s">
        <v>3490</v>
      </c>
      <c r="F706" s="3" t="s">
        <v>3491</v>
      </c>
      <c r="G706" s="3" t="str">
        <f t="array" ref="G706:G707">IF(ISBLANK(B706:B1499), "", XLOOKUP(B706:B1499, Sheet1!A706:A865, Sheet1!C706:C865, "Category Not Found", 0))</f>
        <v>#REF!</v>
      </c>
    </row>
    <row r="707">
      <c r="A707" s="3"/>
      <c r="B707" s="3" t="s">
        <v>3492</v>
      </c>
      <c r="C707" s="3" t="s">
        <v>3493</v>
      </c>
      <c r="D707" s="3" t="s">
        <v>3494</v>
      </c>
      <c r="E707" s="3" t="s">
        <v>3495</v>
      </c>
      <c r="F707" s="3" t="s">
        <v>3496</v>
      </c>
      <c r="G707" s="3" t="str">
        <f t="array" ref="G707:G708">IF(ISBLANK(B707:B1500), "", XLOOKUP(B707:B1500, Sheet1!A707:A866, Sheet1!C707:C866, "Category Not Found", 0))</f>
        <v>#REF!</v>
      </c>
    </row>
    <row r="708">
      <c r="A708" s="3"/>
      <c r="B708" s="3" t="s">
        <v>3497</v>
      </c>
      <c r="C708" s="3" t="s">
        <v>3498</v>
      </c>
      <c r="D708" s="3" t="s">
        <v>3499</v>
      </c>
      <c r="E708" s="3" t="s">
        <v>3500</v>
      </c>
      <c r="F708" s="3" t="s">
        <v>3501</v>
      </c>
      <c r="G708" s="3" t="str">
        <f t="array" ref="G708:G709">IF(ISBLANK(B708:B1501), "", XLOOKUP(B708:B1501, Sheet1!A708:A867, Sheet1!C708:C867, "Category Not Found", 0))</f>
        <v>#REF!</v>
      </c>
    </row>
    <row r="709">
      <c r="A709" s="3"/>
      <c r="B709" s="3" t="s">
        <v>3502</v>
      </c>
      <c r="C709" s="3" t="s">
        <v>3503</v>
      </c>
      <c r="D709" s="3" t="s">
        <v>3504</v>
      </c>
      <c r="E709" s="3" t="s">
        <v>3505</v>
      </c>
      <c r="F709" s="3" t="s">
        <v>3506</v>
      </c>
      <c r="G709" s="3" t="str">
        <f t="array" ref="G709:G710">IF(ISBLANK(B709:B1502), "", XLOOKUP(B709:B1502, Sheet1!A709:A868, Sheet1!C709:C868, "Category Not Found", 0))</f>
        <v>#REF!</v>
      </c>
    </row>
    <row r="710">
      <c r="A710" s="3"/>
      <c r="B710" s="3" t="s">
        <v>3507</v>
      </c>
      <c r="C710" s="3" t="s">
        <v>3508</v>
      </c>
      <c r="D710" s="3" t="s">
        <v>3509</v>
      </c>
      <c r="E710" s="3" t="s">
        <v>3510</v>
      </c>
      <c r="F710" s="3" t="s">
        <v>3511</v>
      </c>
      <c r="G710" s="3" t="str">
        <f t="array" ref="G710:G711">IF(ISBLANK(B710:B1503), "", XLOOKUP(B710:B1503, Sheet1!A710:A869, Sheet1!C710:C869, "Category Not Found", 0))</f>
        <v>#REF!</v>
      </c>
    </row>
    <row r="711">
      <c r="A711" s="3"/>
      <c r="B711" s="3" t="s">
        <v>3512</v>
      </c>
      <c r="C711" s="3" t="s">
        <v>3513</v>
      </c>
      <c r="D711" s="3" t="s">
        <v>3514</v>
      </c>
      <c r="E711" s="3" t="s">
        <v>3515</v>
      </c>
      <c r="F711" s="3" t="s">
        <v>3516</v>
      </c>
      <c r="G711" s="3" t="str">
        <f t="array" ref="G711:G712">IF(ISBLANK(B711:B1504), "", XLOOKUP(B711:B1504, Sheet1!A711:A870, Sheet1!C711:C870, "Category Not Found", 0))</f>
        <v>#REF!</v>
      </c>
    </row>
    <row r="712">
      <c r="A712" s="3"/>
      <c r="B712" s="3" t="s">
        <v>3517</v>
      </c>
      <c r="C712" s="3" t="s">
        <v>3518</v>
      </c>
      <c r="D712" s="3" t="s">
        <v>1725</v>
      </c>
      <c r="E712" s="3" t="s">
        <v>3519</v>
      </c>
      <c r="F712" s="3" t="s">
        <v>3520</v>
      </c>
      <c r="G712" s="3" t="str">
        <f t="array" ref="G712:G713">IF(ISBLANK(B712:B1505), "", XLOOKUP(B712:B1505, Sheet1!A712:A871, Sheet1!C712:C871, "Category Not Found", 0))</f>
        <v>#REF!</v>
      </c>
    </row>
    <row r="713">
      <c r="A713" s="3"/>
      <c r="B713" s="3" t="s">
        <v>3521</v>
      </c>
      <c r="C713" s="3" t="s">
        <v>3522</v>
      </c>
      <c r="D713" s="3" t="s">
        <v>3523</v>
      </c>
      <c r="E713" s="3" t="s">
        <v>3524</v>
      </c>
      <c r="F713" s="3" t="s">
        <v>3525</v>
      </c>
      <c r="G713" s="3" t="str">
        <f t="array" ref="G713:G714">IF(ISBLANK(B713:B1506), "", XLOOKUP(B713:B1506, Sheet1!A713:A872, Sheet1!C713:C872, "Category Not Found", 0))</f>
        <v>#REF!</v>
      </c>
    </row>
    <row r="714">
      <c r="A714" s="3"/>
      <c r="B714" s="3" t="s">
        <v>3526</v>
      </c>
      <c r="C714" s="3" t="s">
        <v>3527</v>
      </c>
      <c r="D714" s="3" t="s">
        <v>3528</v>
      </c>
      <c r="E714" s="3" t="s">
        <v>3529</v>
      </c>
      <c r="F714" s="3" t="s">
        <v>3530</v>
      </c>
      <c r="G714" s="3" t="str">
        <f t="array" ref="G714:G715">IF(ISBLANK(B714:B1507), "", XLOOKUP(B714:B1507, Sheet1!A714:A873, Sheet1!C714:C873, "Category Not Found", 0))</f>
        <v>#REF!</v>
      </c>
    </row>
    <row r="715">
      <c r="A715" s="3"/>
      <c r="B715" s="3" t="s">
        <v>3531</v>
      </c>
      <c r="C715" s="3" t="s">
        <v>3532</v>
      </c>
      <c r="D715" s="3" t="s">
        <v>3533</v>
      </c>
      <c r="E715" s="3" t="s">
        <v>3534</v>
      </c>
      <c r="F715" s="3" t="s">
        <v>3535</v>
      </c>
      <c r="G715" s="3" t="str">
        <f t="array" ref="G715:G716">IF(ISBLANK(B715:B1508), "", XLOOKUP(B715:B1508, Sheet1!A715:A874, Sheet1!C715:C874, "Category Not Found", 0))</f>
        <v>#REF!</v>
      </c>
    </row>
    <row r="716">
      <c r="A716" s="3"/>
      <c r="B716" s="3" t="s">
        <v>3536</v>
      </c>
      <c r="C716" s="3" t="s">
        <v>3537</v>
      </c>
      <c r="D716" s="3" t="s">
        <v>3538</v>
      </c>
      <c r="E716" s="3" t="s">
        <v>3539</v>
      </c>
      <c r="F716" s="3" t="s">
        <v>3540</v>
      </c>
      <c r="G716" s="3" t="str">
        <f t="array" ref="G716:G717">IF(ISBLANK(B716:B1509), "", XLOOKUP(B716:B1509, Sheet1!A716:A875, Sheet1!C716:C875, "Category Not Found", 0))</f>
        <v>#REF!</v>
      </c>
    </row>
    <row r="717">
      <c r="A717" s="3"/>
      <c r="B717" s="3" t="s">
        <v>3541</v>
      </c>
      <c r="C717" s="3" t="s">
        <v>3542</v>
      </c>
      <c r="D717" s="3" t="s">
        <v>3543</v>
      </c>
      <c r="E717" s="3" t="s">
        <v>3544</v>
      </c>
      <c r="F717" s="3" t="s">
        <v>3545</v>
      </c>
      <c r="G717" s="3" t="str">
        <f t="array" ref="G717:G718">IF(ISBLANK(B717:B1510), "", XLOOKUP(B717:B1510, Sheet1!A717:A876, Sheet1!C717:C876, "Category Not Found", 0))</f>
        <v>#REF!</v>
      </c>
    </row>
    <row r="718">
      <c r="A718" s="3"/>
      <c r="B718" s="3" t="s">
        <v>3546</v>
      </c>
      <c r="C718" s="3" t="s">
        <v>3547</v>
      </c>
      <c r="D718" s="3" t="s">
        <v>3548</v>
      </c>
      <c r="E718" s="3" t="s">
        <v>3549</v>
      </c>
      <c r="F718" s="3" t="s">
        <v>3550</v>
      </c>
      <c r="G718" s="3" t="str">
        <f t="array" ref="G718:G719">IF(ISBLANK(B718:B1511), "", XLOOKUP(B718:B1511, Sheet1!A718:A877, Sheet1!C718:C877, "Category Not Found", 0))</f>
        <v>#REF!</v>
      </c>
    </row>
    <row r="719">
      <c r="A719" s="3"/>
      <c r="B719" s="3" t="s">
        <v>3551</v>
      </c>
      <c r="C719" s="3" t="s">
        <v>3552</v>
      </c>
      <c r="D719" s="3" t="s">
        <v>3553</v>
      </c>
      <c r="E719" s="3" t="s">
        <v>3554</v>
      </c>
      <c r="F719" s="3" t="s">
        <v>3555</v>
      </c>
      <c r="G719" s="3" t="str">
        <f t="array" ref="G719:G720">IF(ISBLANK(B719:B1512), "", XLOOKUP(B719:B1512, Sheet1!A719:A878, Sheet1!C719:C878, "Category Not Found", 0))</f>
        <v>#REF!</v>
      </c>
    </row>
    <row r="720">
      <c r="A720" s="3"/>
      <c r="B720" s="3" t="s">
        <v>3556</v>
      </c>
      <c r="C720" s="3" t="s">
        <v>3557</v>
      </c>
      <c r="D720" s="3" t="s">
        <v>3558</v>
      </c>
      <c r="E720" s="3" t="s">
        <v>3559</v>
      </c>
      <c r="F720" s="3" t="s">
        <v>3560</v>
      </c>
      <c r="G720" s="3" t="str">
        <f t="array" ref="G720:G721">IF(ISBLANK(B720:B1513), "", XLOOKUP(B720:B1513, Sheet1!A720:A879, Sheet1!C720:C879, "Category Not Found", 0))</f>
        <v>#REF!</v>
      </c>
    </row>
    <row r="721">
      <c r="A721" s="3"/>
      <c r="B721" s="3" t="s">
        <v>3561</v>
      </c>
      <c r="C721" s="3" t="s">
        <v>3562</v>
      </c>
      <c r="D721" s="3" t="s">
        <v>3563</v>
      </c>
      <c r="E721" s="3" t="s">
        <v>3564</v>
      </c>
      <c r="F721" s="3" t="s">
        <v>3565</v>
      </c>
      <c r="G721" s="3" t="str">
        <f t="array" ref="G721:G722">IF(ISBLANK(B721:B1514), "", XLOOKUP(B721:B1514, Sheet1!A721:A880, Sheet1!C721:C880, "Category Not Found", 0))</f>
        <v>#REF!</v>
      </c>
    </row>
    <row r="722">
      <c r="A722" s="3"/>
      <c r="B722" s="3" t="s">
        <v>3566</v>
      </c>
      <c r="C722" s="3" t="s">
        <v>3567</v>
      </c>
      <c r="D722" s="3" t="s">
        <v>3568</v>
      </c>
      <c r="E722" s="3" t="s">
        <v>3569</v>
      </c>
      <c r="F722" s="3" t="s">
        <v>3570</v>
      </c>
      <c r="G722" s="3" t="str">
        <f t="array" ref="G722:G723">IF(ISBLANK(B722:B1515), "", XLOOKUP(B722:B1515, Sheet1!A722:A881, Sheet1!C722:C881, "Category Not Found", 0))</f>
        <v>#REF!</v>
      </c>
    </row>
    <row r="723">
      <c r="A723" s="3"/>
      <c r="B723" s="3" t="s">
        <v>3571</v>
      </c>
      <c r="C723" s="3" t="s">
        <v>3572</v>
      </c>
      <c r="D723" s="3" t="s">
        <v>3573</v>
      </c>
      <c r="E723" s="3" t="s">
        <v>3574</v>
      </c>
      <c r="F723" s="3" t="s">
        <v>3575</v>
      </c>
      <c r="G723" s="3" t="str">
        <f t="array" ref="G723:G724">IF(ISBLANK(B723:B1516), "", XLOOKUP(B723:B1516, Sheet1!A723:A882, Sheet1!C723:C882, "Category Not Found", 0))</f>
        <v>#REF!</v>
      </c>
    </row>
    <row r="724">
      <c r="A724" s="3"/>
      <c r="B724" s="3" t="s">
        <v>3576</v>
      </c>
      <c r="C724" s="3" t="s">
        <v>3577</v>
      </c>
      <c r="D724" s="3" t="s">
        <v>3578</v>
      </c>
      <c r="E724" s="3" t="s">
        <v>3579</v>
      </c>
      <c r="F724" s="3" t="s">
        <v>3580</v>
      </c>
      <c r="G724" s="3" t="str">
        <f t="array" ref="G724:G725">IF(ISBLANK(B724:B1517), "", XLOOKUP(B724:B1517, Sheet1!A724:A883, Sheet1!C724:C883, "Category Not Found", 0))</f>
        <v>#REF!</v>
      </c>
    </row>
    <row r="725">
      <c r="A725" s="3"/>
      <c r="B725" s="3" t="s">
        <v>3581</v>
      </c>
      <c r="C725" s="3" t="s">
        <v>3582</v>
      </c>
      <c r="D725" s="3" t="s">
        <v>3583</v>
      </c>
      <c r="E725" s="3" t="s">
        <v>3584</v>
      </c>
      <c r="F725" s="3" t="s">
        <v>3585</v>
      </c>
      <c r="G725" s="3" t="str">
        <f t="array" ref="G725:G726">IF(ISBLANK(B725:B1518), "", XLOOKUP(B725:B1518, Sheet1!A725:A884, Sheet1!C725:C884, "Category Not Found", 0))</f>
        <v>#REF!</v>
      </c>
    </row>
    <row r="726">
      <c r="A726" s="3"/>
      <c r="B726" s="3" t="s">
        <v>3586</v>
      </c>
      <c r="C726" s="3" t="s">
        <v>3587</v>
      </c>
      <c r="D726" s="3" t="s">
        <v>3588</v>
      </c>
      <c r="E726" s="3" t="s">
        <v>3589</v>
      </c>
      <c r="F726" s="3" t="s">
        <v>3590</v>
      </c>
      <c r="G726" s="3" t="str">
        <f t="array" ref="G726:G727">IF(ISBLANK(B726:B1519), "", XLOOKUP(B726:B1519, Sheet1!A726:A885, Sheet1!C726:C885, "Category Not Found", 0))</f>
        <v>#REF!</v>
      </c>
    </row>
    <row r="727">
      <c r="A727" s="3"/>
      <c r="B727" s="3" t="s">
        <v>3591</v>
      </c>
      <c r="C727" s="3" t="s">
        <v>3488</v>
      </c>
      <c r="D727" s="3" t="s">
        <v>3592</v>
      </c>
      <c r="E727" s="3" t="s">
        <v>3593</v>
      </c>
      <c r="F727" s="3" t="s">
        <v>3594</v>
      </c>
      <c r="G727" s="3" t="str">
        <f t="array" ref="G727:G728">IF(ISBLANK(B727:B1520), "", XLOOKUP(B727:B1520, Sheet1!A727:A886, Sheet1!C727:C886, "Category Not Found", 0))</f>
        <v>#REF!</v>
      </c>
    </row>
    <row r="728">
      <c r="A728" s="3"/>
      <c r="B728" s="3" t="s">
        <v>3595</v>
      </c>
      <c r="C728" s="3" t="s">
        <v>3596</v>
      </c>
      <c r="D728" s="3" t="s">
        <v>3597</v>
      </c>
      <c r="E728" s="3" t="s">
        <v>3598</v>
      </c>
      <c r="F728" s="3" t="s">
        <v>3599</v>
      </c>
      <c r="G728" s="3" t="str">
        <f t="array" ref="G728:G729">IF(ISBLANK(B728:B1521), "", XLOOKUP(B728:B1521, Sheet1!A728:A887, Sheet1!C728:C887, "Category Not Found", 0))</f>
        <v>#REF!</v>
      </c>
    </row>
    <row r="729">
      <c r="A729" s="3"/>
      <c r="B729" s="3" t="s">
        <v>3600</v>
      </c>
      <c r="C729" s="3" t="s">
        <v>3601</v>
      </c>
      <c r="D729" s="3" t="s">
        <v>3602</v>
      </c>
      <c r="E729" s="3" t="s">
        <v>3603</v>
      </c>
      <c r="F729" s="3" t="s">
        <v>3604</v>
      </c>
      <c r="G729" s="3" t="str">
        <f t="array" ref="G729:G730">IF(ISBLANK(B729:B1522), "", XLOOKUP(B729:B1522, Sheet1!A729:A888, Sheet1!C729:C888, "Category Not Found", 0))</f>
        <v>#REF!</v>
      </c>
    </row>
    <row r="730">
      <c r="A730" s="3"/>
      <c r="B730" s="3" t="s">
        <v>3605</v>
      </c>
      <c r="C730" s="3" t="s">
        <v>3606</v>
      </c>
      <c r="D730" s="3" t="s">
        <v>3607</v>
      </c>
      <c r="E730" s="3" t="s">
        <v>3608</v>
      </c>
      <c r="F730" s="3" t="s">
        <v>3609</v>
      </c>
      <c r="G730" s="3" t="str">
        <f t="array" ref="G730:G731">IF(ISBLANK(B730:B1523), "", XLOOKUP(B730:B1523, Sheet1!A730:A889, Sheet1!C730:C889, "Category Not Found", 0))</f>
        <v>#REF!</v>
      </c>
    </row>
    <row r="731">
      <c r="A731" s="3"/>
      <c r="B731" s="3" t="s">
        <v>3610</v>
      </c>
      <c r="C731" s="3" t="s">
        <v>3611</v>
      </c>
      <c r="D731" s="3" t="s">
        <v>3612</v>
      </c>
      <c r="E731" s="3" t="s">
        <v>3613</v>
      </c>
      <c r="F731" s="3" t="s">
        <v>3614</v>
      </c>
      <c r="G731" s="3" t="str">
        <f t="array" ref="G731:G732">IF(ISBLANK(B731:B1524), "", XLOOKUP(B731:B1524, Sheet1!A731:A890, Sheet1!C731:C890, "Category Not Found", 0))</f>
        <v>#REF!</v>
      </c>
    </row>
    <row r="732">
      <c r="A732" s="3"/>
      <c r="B732" s="3" t="s">
        <v>3615</v>
      </c>
      <c r="C732" s="3" t="s">
        <v>3616</v>
      </c>
      <c r="D732" s="3" t="s">
        <v>3617</v>
      </c>
      <c r="E732" s="3" t="s">
        <v>3618</v>
      </c>
      <c r="F732" s="3" t="s">
        <v>3619</v>
      </c>
      <c r="G732" s="3" t="str">
        <f t="array" ref="G732:G733">IF(ISBLANK(B732:B1525), "", XLOOKUP(B732:B1525, Sheet1!A732:A891, Sheet1!C732:C891, "Category Not Found", 0))</f>
        <v>#REF!</v>
      </c>
    </row>
    <row r="733">
      <c r="A733" s="3"/>
      <c r="B733" s="3" t="s">
        <v>3620</v>
      </c>
      <c r="C733" s="3" t="s">
        <v>3621</v>
      </c>
      <c r="D733" s="3" t="s">
        <v>3622</v>
      </c>
      <c r="E733" s="3" t="s">
        <v>3623</v>
      </c>
      <c r="F733" s="3" t="s">
        <v>3624</v>
      </c>
      <c r="G733" s="3" t="str">
        <f t="array" ref="G733:G734">IF(ISBLANK(B733:B1526), "", XLOOKUP(B733:B1526, Sheet1!A733:A892, Sheet1!C733:C892, "Category Not Found", 0))</f>
        <v>#REF!</v>
      </c>
    </row>
    <row r="734">
      <c r="A734" s="3"/>
      <c r="B734" s="3" t="s">
        <v>3625</v>
      </c>
      <c r="C734" s="3" t="s">
        <v>3626</v>
      </c>
      <c r="D734" s="3" t="s">
        <v>3627</v>
      </c>
      <c r="E734" s="3" t="s">
        <v>3628</v>
      </c>
      <c r="F734" s="3" t="s">
        <v>3629</v>
      </c>
      <c r="G734" s="3" t="str">
        <f t="array" ref="G734:G735">IF(ISBLANK(B734:B1527), "", XLOOKUP(B734:B1527, Sheet1!A734:A893, Sheet1!C734:C893, "Category Not Found", 0))</f>
        <v>#REF!</v>
      </c>
    </row>
    <row r="735">
      <c r="A735" s="3"/>
      <c r="B735" s="3" t="s">
        <v>3630</v>
      </c>
      <c r="C735" s="3" t="s">
        <v>3631</v>
      </c>
      <c r="D735" s="3" t="s">
        <v>3632</v>
      </c>
      <c r="E735" s="3" t="s">
        <v>3633</v>
      </c>
      <c r="F735" s="3" t="s">
        <v>3634</v>
      </c>
      <c r="G735" s="3" t="str">
        <f t="array" ref="G735:G736">IF(ISBLANK(B735:B1528), "", XLOOKUP(B735:B1528, Sheet1!A735:A894, Sheet1!C735:C894, "Category Not Found", 0))</f>
        <v>#REF!</v>
      </c>
    </row>
    <row r="736">
      <c r="A736" s="3"/>
      <c r="B736" s="3" t="s">
        <v>3635</v>
      </c>
      <c r="C736" s="3" t="s">
        <v>3636</v>
      </c>
      <c r="D736" s="3" t="s">
        <v>3637</v>
      </c>
      <c r="E736" s="3" t="s">
        <v>3638</v>
      </c>
      <c r="F736" s="3" t="s">
        <v>3639</v>
      </c>
      <c r="G736" s="3" t="str">
        <f t="array" ref="G736:G737">IF(ISBLANK(B736:B1529), "", XLOOKUP(B736:B1529, Sheet1!A736:A895, Sheet1!C736:C895, "Category Not Found", 0))</f>
        <v>#REF!</v>
      </c>
    </row>
    <row r="737">
      <c r="A737" s="3"/>
      <c r="B737" s="3" t="s">
        <v>3640</v>
      </c>
      <c r="C737" s="3" t="s">
        <v>3641</v>
      </c>
      <c r="D737" s="3" t="s">
        <v>3642</v>
      </c>
      <c r="E737" s="3" t="s">
        <v>3643</v>
      </c>
      <c r="F737" s="3" t="s">
        <v>3644</v>
      </c>
      <c r="G737" s="3" t="str">
        <f t="array" ref="G737:G738">IF(ISBLANK(B737:B1530), "", XLOOKUP(B737:B1530, Sheet1!A737:A896, Sheet1!C737:C896, "Category Not Found", 0))</f>
        <v>#REF!</v>
      </c>
    </row>
    <row r="738">
      <c r="A738" s="3"/>
      <c r="B738" s="3" t="s">
        <v>3645</v>
      </c>
      <c r="C738" s="3" t="s">
        <v>3646</v>
      </c>
      <c r="D738" s="3" t="s">
        <v>3647</v>
      </c>
      <c r="E738" s="3" t="s">
        <v>3648</v>
      </c>
      <c r="F738" s="3" t="s">
        <v>3649</v>
      </c>
      <c r="G738" s="3" t="str">
        <f t="array" ref="G738:G739">IF(ISBLANK(B738:B1531), "", XLOOKUP(B738:B1531, Sheet1!A738:A897, Sheet1!C738:C897, "Category Not Found", 0))</f>
        <v>#REF!</v>
      </c>
    </row>
    <row r="739">
      <c r="A739" s="3"/>
      <c r="B739" s="3" t="s">
        <v>3650</v>
      </c>
      <c r="C739" s="3" t="s">
        <v>3651</v>
      </c>
      <c r="D739" s="3" t="s">
        <v>3652</v>
      </c>
      <c r="E739" s="3" t="s">
        <v>3653</v>
      </c>
      <c r="F739" s="3" t="s">
        <v>3654</v>
      </c>
      <c r="G739" s="3" t="str">
        <f t="array" ref="G739:G740">IF(ISBLANK(B739:B1532), "", XLOOKUP(B739:B1532, Sheet1!A739:A898, Sheet1!C739:C898, "Category Not Found", 0))</f>
        <v>#REF!</v>
      </c>
    </row>
    <row r="740">
      <c r="A740" s="3"/>
      <c r="B740" s="3" t="s">
        <v>3655</v>
      </c>
      <c r="C740" s="3" t="s">
        <v>3656</v>
      </c>
      <c r="D740" s="3" t="s">
        <v>3657</v>
      </c>
      <c r="E740" s="3" t="s">
        <v>3658</v>
      </c>
      <c r="F740" s="3" t="s">
        <v>3659</v>
      </c>
      <c r="G740" s="3" t="str">
        <f t="array" ref="G740:G741">IF(ISBLANK(B740:B1533), "", XLOOKUP(B740:B1533, Sheet1!A740:A899, Sheet1!C740:C899, "Category Not Found", 0))</f>
        <v>#REF!</v>
      </c>
    </row>
    <row r="741">
      <c r="A741" s="3"/>
      <c r="B741" s="3" t="s">
        <v>3660</v>
      </c>
      <c r="C741" s="3" t="s">
        <v>3661</v>
      </c>
      <c r="D741" s="3" t="s">
        <v>3662</v>
      </c>
      <c r="E741" s="3" t="s">
        <v>3663</v>
      </c>
      <c r="F741" s="3" t="s">
        <v>3664</v>
      </c>
      <c r="G741" s="3" t="str">
        <f t="array" ref="G741:G742">IF(ISBLANK(B741:B1534), "", XLOOKUP(B741:B1534, Sheet1!A741:A900, Sheet1!C741:C900, "Category Not Found", 0))</f>
        <v>#REF!</v>
      </c>
    </row>
    <row r="742">
      <c r="A742" s="3"/>
      <c r="B742" s="3" t="s">
        <v>3665</v>
      </c>
      <c r="C742" s="3" t="s">
        <v>3666</v>
      </c>
      <c r="D742" s="3" t="s">
        <v>3667</v>
      </c>
      <c r="E742" s="3" t="s">
        <v>3668</v>
      </c>
      <c r="F742" s="3" t="s">
        <v>3669</v>
      </c>
      <c r="G742" s="3" t="str">
        <f t="array" ref="G742:G743">IF(ISBLANK(B742:B1535), "", XLOOKUP(B742:B1535, Sheet1!A742:A901, Sheet1!C742:C901, "Category Not Found", 0))</f>
        <v>#REF!</v>
      </c>
    </row>
    <row r="743">
      <c r="A743" s="3"/>
      <c r="B743" s="3" t="s">
        <v>3670</v>
      </c>
      <c r="C743" s="3" t="s">
        <v>3671</v>
      </c>
      <c r="D743" s="3" t="s">
        <v>3672</v>
      </c>
      <c r="E743" s="3" t="s">
        <v>3673</v>
      </c>
      <c r="F743" s="3" t="s">
        <v>3674</v>
      </c>
      <c r="G743" s="3" t="str">
        <f t="array" ref="G743:G744">IF(ISBLANK(B743:B1536), "", XLOOKUP(B743:B1536, Sheet1!A743:A902, Sheet1!C743:C902, "Category Not Found", 0))</f>
        <v>#REF!</v>
      </c>
    </row>
    <row r="744">
      <c r="A744" s="3"/>
      <c r="B744" s="3" t="s">
        <v>3675</v>
      </c>
      <c r="C744" s="3" t="s">
        <v>3676</v>
      </c>
      <c r="D744" s="3" t="s">
        <v>3677</v>
      </c>
      <c r="E744" s="3" t="s">
        <v>3678</v>
      </c>
      <c r="F744" s="3" t="s">
        <v>3679</v>
      </c>
      <c r="G744" s="3" t="str">
        <f t="array" ref="G744:G745">IF(ISBLANK(B744:B1537), "", XLOOKUP(B744:B1537, Sheet1!A744:A903, Sheet1!C744:C903, "Category Not Found", 0))</f>
        <v>#REF!</v>
      </c>
    </row>
    <row r="745">
      <c r="A745" s="3"/>
      <c r="B745" s="3" t="s">
        <v>3680</v>
      </c>
      <c r="C745" s="3" t="s">
        <v>3681</v>
      </c>
      <c r="D745" s="3" t="s">
        <v>3682</v>
      </c>
      <c r="E745" s="3" t="s">
        <v>3683</v>
      </c>
      <c r="F745" s="3" t="s">
        <v>3684</v>
      </c>
      <c r="G745" s="3" t="str">
        <f t="array" ref="G745:G746">IF(ISBLANK(B745:B1538), "", XLOOKUP(B745:B1538, Sheet1!A745:A904, Sheet1!C745:C904, "Category Not Found", 0))</f>
        <v>#REF!</v>
      </c>
    </row>
    <row r="746">
      <c r="A746" s="3"/>
      <c r="B746" s="3" t="s">
        <v>3685</v>
      </c>
      <c r="C746" s="3" t="s">
        <v>3686</v>
      </c>
      <c r="D746" s="3" t="s">
        <v>3687</v>
      </c>
      <c r="E746" s="3" t="s">
        <v>3688</v>
      </c>
      <c r="F746" s="3" t="s">
        <v>3689</v>
      </c>
      <c r="G746" s="3" t="str">
        <f t="array" ref="G746:G747">IF(ISBLANK(B746:B1539), "", XLOOKUP(B746:B1539, Sheet1!A746:A905, Sheet1!C746:C905, "Category Not Found", 0))</f>
        <v>#REF!</v>
      </c>
    </row>
    <row r="747">
      <c r="A747" s="3"/>
      <c r="B747" s="3" t="s">
        <v>3690</v>
      </c>
      <c r="C747" s="3" t="s">
        <v>3691</v>
      </c>
      <c r="D747" s="3" t="s">
        <v>3692</v>
      </c>
      <c r="E747" s="3" t="s">
        <v>3693</v>
      </c>
      <c r="F747" s="3" t="s">
        <v>3694</v>
      </c>
      <c r="G747" s="3" t="str">
        <f t="array" ref="G747:G748">IF(ISBLANK(B747:B1540), "", XLOOKUP(B747:B1540, Sheet1!A747:A906, Sheet1!C747:C906, "Category Not Found", 0))</f>
        <v>#REF!</v>
      </c>
    </row>
    <row r="748">
      <c r="A748" s="3"/>
      <c r="B748" s="3" t="s">
        <v>3695</v>
      </c>
      <c r="C748" s="3" t="s">
        <v>3696</v>
      </c>
      <c r="D748" s="3" t="s">
        <v>3697</v>
      </c>
      <c r="E748" s="3" t="s">
        <v>3698</v>
      </c>
      <c r="F748" s="3" t="s">
        <v>3699</v>
      </c>
      <c r="G748" s="3" t="str">
        <f t="array" ref="G748:G749">IF(ISBLANK(B748:B1541), "", XLOOKUP(B748:B1541, Sheet1!A748:A907, Sheet1!C748:C907, "Category Not Found", 0))</f>
        <v>#REF!</v>
      </c>
    </row>
    <row r="749">
      <c r="A749" s="3"/>
      <c r="B749" s="3" t="s">
        <v>3700</v>
      </c>
      <c r="C749" s="3" t="s">
        <v>3701</v>
      </c>
      <c r="D749" s="3" t="s">
        <v>3702</v>
      </c>
      <c r="E749" s="3" t="s">
        <v>3703</v>
      </c>
      <c r="F749" s="3" t="s">
        <v>3704</v>
      </c>
      <c r="G749" s="3" t="str">
        <f t="array" ref="G749:G750">IF(ISBLANK(B749:B1542), "", XLOOKUP(B749:B1542, Sheet1!A749:A908, Sheet1!C749:C908, "Category Not Found", 0))</f>
        <v>#REF!</v>
      </c>
    </row>
    <row r="750">
      <c r="A750" s="3"/>
      <c r="B750" s="3" t="s">
        <v>3705</v>
      </c>
      <c r="C750" s="3" t="s">
        <v>3706</v>
      </c>
      <c r="D750" s="3" t="s">
        <v>3707</v>
      </c>
      <c r="E750" s="3" t="s">
        <v>3708</v>
      </c>
      <c r="F750" s="3" t="s">
        <v>3709</v>
      </c>
      <c r="G750" s="3" t="str">
        <f t="array" ref="G750:G751">IF(ISBLANK(B750:B1543), "", XLOOKUP(B750:B1543, Sheet1!A750:A909, Sheet1!C750:C909, "Category Not Found", 0))</f>
        <v>#REF!</v>
      </c>
    </row>
    <row r="751">
      <c r="A751" s="3"/>
      <c r="B751" s="3" t="s">
        <v>3710</v>
      </c>
      <c r="C751" s="3" t="s">
        <v>3711</v>
      </c>
      <c r="D751" s="3" t="s">
        <v>3712</v>
      </c>
      <c r="E751" s="3" t="s">
        <v>3713</v>
      </c>
      <c r="F751" s="3" t="s">
        <v>3714</v>
      </c>
      <c r="G751" s="3" t="str">
        <f t="array" ref="G751:G752">IF(ISBLANK(B751:B1544), "", XLOOKUP(B751:B1544, Sheet1!A751:A910, Sheet1!C751:C910, "Category Not Found", 0))</f>
        <v>#REF!</v>
      </c>
    </row>
    <row r="752">
      <c r="A752" s="3"/>
      <c r="B752" s="3" t="s">
        <v>3715</v>
      </c>
      <c r="C752" s="3" t="s">
        <v>3716</v>
      </c>
      <c r="D752" s="3" t="s">
        <v>3717</v>
      </c>
      <c r="E752" s="3" t="s">
        <v>3718</v>
      </c>
      <c r="F752" s="3" t="s">
        <v>3719</v>
      </c>
      <c r="G752" s="3" t="str">
        <f t="array" ref="G752:G753">IF(ISBLANK(B752:B1545), "", XLOOKUP(B752:B1545, Sheet1!A752:A911, Sheet1!C752:C911, "Category Not Found", 0))</f>
        <v>#REF!</v>
      </c>
    </row>
    <row r="753">
      <c r="A753" s="3"/>
      <c r="B753" s="3" t="s">
        <v>3720</v>
      </c>
      <c r="C753" s="3" t="s">
        <v>3721</v>
      </c>
      <c r="D753" s="3" t="s">
        <v>3722</v>
      </c>
      <c r="E753" s="3" t="s">
        <v>3723</v>
      </c>
      <c r="F753" s="3" t="s">
        <v>3724</v>
      </c>
      <c r="G753" s="3" t="str">
        <f t="array" ref="G753:G754">IF(ISBLANK(B753:B1546), "", XLOOKUP(B753:B1546, Sheet1!A753:A912, Sheet1!C753:C912, "Category Not Found", 0))</f>
        <v>#REF!</v>
      </c>
    </row>
    <row r="754">
      <c r="A754" s="3"/>
      <c r="B754" s="3" t="s">
        <v>3725</v>
      </c>
      <c r="C754" s="3" t="s">
        <v>3726</v>
      </c>
      <c r="D754" s="3" t="s">
        <v>3727</v>
      </c>
      <c r="E754" s="3" t="s">
        <v>3728</v>
      </c>
      <c r="F754" s="3" t="s">
        <v>3729</v>
      </c>
      <c r="G754" s="3" t="str">
        <f t="array" ref="G754:G755">IF(ISBLANK(B754:B1547), "", XLOOKUP(B754:B1547, Sheet1!A754:A913, Sheet1!C754:C913, "Category Not Found", 0))</f>
        <v>#REF!</v>
      </c>
    </row>
    <row r="755">
      <c r="A755" s="3"/>
      <c r="B755" s="3" t="s">
        <v>3730</v>
      </c>
      <c r="C755" s="3" t="s">
        <v>3731</v>
      </c>
      <c r="D755" s="3" t="s">
        <v>3732</v>
      </c>
      <c r="E755" s="3" t="s">
        <v>3733</v>
      </c>
      <c r="F755" s="3" t="s">
        <v>3734</v>
      </c>
      <c r="G755" s="3" t="str">
        <f t="array" ref="G755:G756">IF(ISBLANK(B755:B1548), "", XLOOKUP(B755:B1548, Sheet1!A755:A914, Sheet1!C755:C914, "Category Not Found", 0))</f>
        <v>#REF!</v>
      </c>
    </row>
    <row r="756">
      <c r="A756" s="3"/>
      <c r="B756" s="3" t="s">
        <v>3735</v>
      </c>
      <c r="C756" s="3" t="s">
        <v>3736</v>
      </c>
      <c r="D756" s="3" t="s">
        <v>3737</v>
      </c>
      <c r="E756" s="3" t="s">
        <v>3738</v>
      </c>
      <c r="F756" s="3" t="s">
        <v>3739</v>
      </c>
      <c r="G756" s="3" t="str">
        <f t="array" ref="G756:G757">IF(ISBLANK(B756:B1549), "", XLOOKUP(B756:B1549, Sheet1!A756:A915, Sheet1!C756:C915, "Category Not Found", 0))</f>
        <v>#REF!</v>
      </c>
    </row>
    <row r="757">
      <c r="A757" s="3"/>
      <c r="B757" s="3" t="s">
        <v>3740</v>
      </c>
      <c r="C757" s="3" t="s">
        <v>3741</v>
      </c>
      <c r="D757" s="3" t="s">
        <v>3742</v>
      </c>
      <c r="E757" s="3" t="s">
        <v>3743</v>
      </c>
      <c r="F757" s="3" t="s">
        <v>3744</v>
      </c>
      <c r="G757" s="3" t="str">
        <f t="array" ref="G757:G758">IF(ISBLANK(B757:B1550), "", XLOOKUP(B757:B1550, Sheet1!A757:A916, Sheet1!C757:C916, "Category Not Found", 0))</f>
        <v>#REF!</v>
      </c>
    </row>
    <row r="758">
      <c r="A758" s="3"/>
      <c r="B758" s="3" t="s">
        <v>3745</v>
      </c>
      <c r="C758" s="3" t="s">
        <v>3746</v>
      </c>
      <c r="D758" s="3" t="s">
        <v>3747</v>
      </c>
      <c r="E758" s="3" t="s">
        <v>3748</v>
      </c>
      <c r="F758" s="3" t="s">
        <v>3749</v>
      </c>
      <c r="G758" s="3" t="str">
        <f t="array" ref="G758:G759">IF(ISBLANK(B758:B1551), "", XLOOKUP(B758:B1551, Sheet1!A758:A917, Sheet1!C758:C917, "Category Not Found", 0))</f>
        <v>#REF!</v>
      </c>
    </row>
    <row r="759">
      <c r="A759" s="3"/>
      <c r="B759" s="3" t="s">
        <v>3750</v>
      </c>
      <c r="C759" s="3" t="s">
        <v>3751</v>
      </c>
      <c r="D759" s="3" t="s">
        <v>3752</v>
      </c>
      <c r="E759" s="3" t="s">
        <v>3753</v>
      </c>
      <c r="F759" s="3" t="s">
        <v>3754</v>
      </c>
      <c r="G759" s="3" t="str">
        <f t="array" ref="G759:G760">IF(ISBLANK(B759:B1552), "", XLOOKUP(B759:B1552, Sheet1!A759:A918, Sheet1!C759:C918, "Category Not Found", 0))</f>
        <v>#REF!</v>
      </c>
    </row>
    <row r="760">
      <c r="A760" s="3"/>
      <c r="B760" s="3" t="s">
        <v>3755</v>
      </c>
      <c r="C760" s="3" t="s">
        <v>3756</v>
      </c>
      <c r="D760" s="3" t="s">
        <v>3757</v>
      </c>
      <c r="E760" s="3" t="s">
        <v>3758</v>
      </c>
      <c r="F760" s="3" t="s">
        <v>3759</v>
      </c>
      <c r="G760" s="3" t="str">
        <f t="array" ref="G760:G761">IF(ISBLANK(B760:B1553), "", XLOOKUP(B760:B1553, Sheet1!A760:A919, Sheet1!C760:C919, "Category Not Found", 0))</f>
        <v>#REF!</v>
      </c>
    </row>
    <row r="761">
      <c r="A761" s="3"/>
      <c r="B761" s="3" t="s">
        <v>3760</v>
      </c>
      <c r="C761" s="3" t="s">
        <v>3761</v>
      </c>
      <c r="D761" s="3" t="s">
        <v>3762</v>
      </c>
      <c r="E761" s="3" t="s">
        <v>3763</v>
      </c>
      <c r="F761" s="3" t="s">
        <v>3764</v>
      </c>
      <c r="G761" s="3" t="str">
        <f t="array" ref="G761:G762">IF(ISBLANK(B761:B1554), "", XLOOKUP(B761:B1554, Sheet1!A761:A920, Sheet1!C761:C920, "Category Not Found", 0))</f>
        <v>#REF!</v>
      </c>
    </row>
    <row r="762">
      <c r="A762" s="3"/>
      <c r="B762" s="3" t="s">
        <v>3765</v>
      </c>
      <c r="C762" s="3" t="s">
        <v>3766</v>
      </c>
      <c r="D762" s="3" t="s">
        <v>3767</v>
      </c>
      <c r="E762" s="3" t="s">
        <v>3768</v>
      </c>
      <c r="F762" s="3" t="s">
        <v>3769</v>
      </c>
      <c r="G762" s="3" t="str">
        <f t="array" ref="G762:G763">IF(ISBLANK(B762:B1555), "", XLOOKUP(B762:B1555, Sheet1!A762:A921, Sheet1!C762:C921, "Category Not Found", 0))</f>
        <v>#REF!</v>
      </c>
    </row>
    <row r="763">
      <c r="A763" s="3"/>
      <c r="B763" s="3" t="s">
        <v>3770</v>
      </c>
      <c r="C763" s="3" t="s">
        <v>3771</v>
      </c>
      <c r="D763" s="3" t="s">
        <v>3772</v>
      </c>
      <c r="E763" s="3" t="s">
        <v>3773</v>
      </c>
      <c r="F763" s="3" t="s">
        <v>3774</v>
      </c>
      <c r="G763" s="3" t="str">
        <f t="array" ref="G763:G764">IF(ISBLANK(B763:B1556), "", XLOOKUP(B763:B1556, Sheet1!A763:A922, Sheet1!C763:C922, "Category Not Found", 0))</f>
        <v>#REF!</v>
      </c>
    </row>
    <row r="764">
      <c r="A764" s="3"/>
      <c r="B764" s="3" t="s">
        <v>3775</v>
      </c>
      <c r="C764" s="3" t="s">
        <v>3776</v>
      </c>
      <c r="D764" s="3" t="s">
        <v>3752</v>
      </c>
      <c r="E764" s="3" t="s">
        <v>3777</v>
      </c>
      <c r="F764" s="3" t="s">
        <v>3778</v>
      </c>
      <c r="G764" s="3" t="str">
        <f t="array" ref="G764:G765">IF(ISBLANK(B764:B1557), "", XLOOKUP(B764:B1557, Sheet1!A764:A923, Sheet1!C764:C923, "Category Not Found", 0))</f>
        <v>#REF!</v>
      </c>
    </row>
    <row r="765">
      <c r="A765" s="3"/>
      <c r="B765" s="3" t="s">
        <v>3779</v>
      </c>
      <c r="C765" s="3" t="s">
        <v>3780</v>
      </c>
      <c r="D765" s="3" t="s">
        <v>3781</v>
      </c>
      <c r="E765" s="3" t="s">
        <v>3782</v>
      </c>
      <c r="F765" s="3" t="s">
        <v>3783</v>
      </c>
      <c r="G765" s="3" t="str">
        <f t="array" ref="G765:G766">IF(ISBLANK(B765:B1558), "", XLOOKUP(B765:B1558, Sheet1!A765:A924, Sheet1!C765:C924, "Category Not Found", 0))</f>
        <v>#REF!</v>
      </c>
    </row>
    <row r="766">
      <c r="A766" s="3"/>
      <c r="B766" s="3" t="s">
        <v>3784</v>
      </c>
      <c r="C766" s="3" t="s">
        <v>3785</v>
      </c>
      <c r="D766" s="3" t="s">
        <v>3786</v>
      </c>
      <c r="E766" s="3" t="s">
        <v>3787</v>
      </c>
      <c r="F766" s="3" t="s">
        <v>3788</v>
      </c>
      <c r="G766" s="3" t="str">
        <f t="array" ref="G766:G767">IF(ISBLANK(B766:B1559), "", XLOOKUP(B766:B1559, Sheet1!A766:A925, Sheet1!C766:C925, "Category Not Found", 0))</f>
        <v>#REF!</v>
      </c>
    </row>
    <row r="767">
      <c r="A767" s="3"/>
      <c r="B767" s="3" t="s">
        <v>3789</v>
      </c>
      <c r="C767" s="3" t="s">
        <v>3790</v>
      </c>
      <c r="D767" s="3" t="s">
        <v>3791</v>
      </c>
      <c r="E767" s="3" t="s">
        <v>3792</v>
      </c>
      <c r="F767" s="3" t="s">
        <v>3793</v>
      </c>
      <c r="G767" s="3" t="str">
        <f t="array" ref="G767:G768">IF(ISBLANK(B767:B1560), "", XLOOKUP(B767:B1560, Sheet1!A767:A926, Sheet1!C767:C926, "Category Not Found", 0))</f>
        <v>#REF!</v>
      </c>
    </row>
    <row r="768">
      <c r="A768" s="3"/>
      <c r="B768" s="3" t="s">
        <v>3794</v>
      </c>
      <c r="C768" s="3" t="s">
        <v>3795</v>
      </c>
      <c r="D768" s="3" t="s">
        <v>3796</v>
      </c>
      <c r="E768" s="3" t="s">
        <v>3797</v>
      </c>
      <c r="F768" s="3" t="s">
        <v>3798</v>
      </c>
      <c r="G768" s="3" t="str">
        <f t="array" ref="G768:G769">IF(ISBLANK(B768:B1561), "", XLOOKUP(B768:B1561, Sheet1!A768:A927, Sheet1!C768:C927, "Category Not Found", 0))</f>
        <v>#REF!</v>
      </c>
    </row>
    <row r="769">
      <c r="A769" s="3"/>
      <c r="B769" s="3" t="s">
        <v>3799</v>
      </c>
      <c r="C769" s="3" t="s">
        <v>3800</v>
      </c>
      <c r="D769" s="3" t="s">
        <v>3801</v>
      </c>
      <c r="E769" s="3" t="s">
        <v>3802</v>
      </c>
      <c r="F769" s="3" t="s">
        <v>3803</v>
      </c>
      <c r="G769" s="3" t="str">
        <f t="array" ref="G769:G770">IF(ISBLANK(B769:B1562), "", XLOOKUP(B769:B1562, Sheet1!A769:A928, Sheet1!C769:C928, "Category Not Found", 0))</f>
        <v>#REF!</v>
      </c>
    </row>
    <row r="770">
      <c r="A770" s="3"/>
      <c r="B770" s="3" t="s">
        <v>3804</v>
      </c>
      <c r="C770" s="3" t="s">
        <v>3805</v>
      </c>
      <c r="D770" s="3" t="s">
        <v>3806</v>
      </c>
      <c r="E770" s="3" t="s">
        <v>3807</v>
      </c>
      <c r="F770" s="3" t="s">
        <v>3808</v>
      </c>
      <c r="G770" s="3" t="str">
        <f t="array" ref="G770:G771">IF(ISBLANK(B770:B1563), "", XLOOKUP(B770:B1563, Sheet1!A770:A929, Sheet1!C770:C929, "Category Not Found", 0))</f>
        <v>#REF!</v>
      </c>
    </row>
    <row r="771">
      <c r="A771" s="3"/>
      <c r="B771" s="3" t="s">
        <v>3809</v>
      </c>
      <c r="C771" s="3" t="s">
        <v>3810</v>
      </c>
      <c r="D771" s="3" t="s">
        <v>3811</v>
      </c>
      <c r="E771" s="3" t="s">
        <v>3812</v>
      </c>
      <c r="F771" s="3" t="s">
        <v>3813</v>
      </c>
      <c r="G771" s="3" t="str">
        <f t="array" ref="G771:G772">IF(ISBLANK(B771:B1564), "", XLOOKUP(B771:B1564, Sheet1!A771:A930, Sheet1!C771:C930, "Category Not Found", 0))</f>
        <v>#REF!</v>
      </c>
    </row>
    <row r="772">
      <c r="A772" s="3"/>
      <c r="B772" s="3" t="s">
        <v>3814</v>
      </c>
      <c r="C772" s="3" t="s">
        <v>3815</v>
      </c>
      <c r="D772" s="3" t="s">
        <v>3816</v>
      </c>
      <c r="E772" s="3" t="s">
        <v>3817</v>
      </c>
      <c r="F772" s="3" t="s">
        <v>3818</v>
      </c>
      <c r="G772" s="3" t="str">
        <f t="array" ref="G772:G773">IF(ISBLANK(B772:B1565), "", XLOOKUP(B772:B1565, Sheet1!A772:A931, Sheet1!C772:C931, "Category Not Found", 0))</f>
        <v>#REF!</v>
      </c>
    </row>
    <row r="773">
      <c r="A773" s="3"/>
      <c r="B773" s="3" t="s">
        <v>3819</v>
      </c>
      <c r="C773" s="3" t="s">
        <v>3820</v>
      </c>
      <c r="D773" s="3" t="s">
        <v>3821</v>
      </c>
      <c r="E773" s="3" t="s">
        <v>3822</v>
      </c>
      <c r="F773" s="3" t="s">
        <v>3823</v>
      </c>
      <c r="G773" s="3" t="str">
        <f t="array" ref="G773:G774">IF(ISBLANK(B773:B1566), "", XLOOKUP(B773:B1566, Sheet1!A773:A932, Sheet1!C773:C932, "Category Not Found", 0))</f>
        <v>#REF!</v>
      </c>
    </row>
    <row r="774">
      <c r="A774" s="3"/>
      <c r="B774" s="3" t="s">
        <v>3824</v>
      </c>
      <c r="C774" s="3" t="s">
        <v>3825</v>
      </c>
      <c r="D774" s="3" t="s">
        <v>3826</v>
      </c>
      <c r="E774" s="3" t="s">
        <v>3827</v>
      </c>
      <c r="F774" s="3" t="s">
        <v>3828</v>
      </c>
      <c r="G774" s="3" t="str">
        <f t="array" ref="G774:G775">IF(ISBLANK(B774:B1567), "", XLOOKUP(B774:B1567, Sheet1!A774:A933, Sheet1!C774:C933, "Category Not Found", 0))</f>
        <v>#REF!</v>
      </c>
    </row>
    <row r="775">
      <c r="A775" s="3"/>
      <c r="B775" s="3" t="s">
        <v>3829</v>
      </c>
      <c r="C775" s="3" t="s">
        <v>3830</v>
      </c>
      <c r="D775" s="3" t="s">
        <v>3831</v>
      </c>
      <c r="E775" s="3" t="s">
        <v>3832</v>
      </c>
      <c r="F775" s="3" t="s">
        <v>3833</v>
      </c>
      <c r="G775" s="3" t="str">
        <f t="array" ref="G775:G776">IF(ISBLANK(B775:B1568), "", XLOOKUP(B775:B1568, Sheet1!A775:A934, Sheet1!C775:C934, "Category Not Found", 0))</f>
        <v>#REF!</v>
      </c>
    </row>
    <row r="776">
      <c r="A776" s="3"/>
      <c r="B776" s="3" t="s">
        <v>3834</v>
      </c>
      <c r="C776" s="3" t="s">
        <v>3835</v>
      </c>
      <c r="D776" s="3" t="s">
        <v>3836</v>
      </c>
      <c r="E776" s="3" t="s">
        <v>3837</v>
      </c>
      <c r="F776" s="3" t="s">
        <v>3838</v>
      </c>
      <c r="G776" s="3" t="str">
        <f t="array" ref="G776:G777">IF(ISBLANK(B776:B1569), "", XLOOKUP(B776:B1569, Sheet1!A776:A935, Sheet1!C776:C935, "Category Not Found", 0))</f>
        <v>#REF!</v>
      </c>
    </row>
    <row r="777">
      <c r="A777" s="3"/>
      <c r="B777" s="3" t="s">
        <v>3839</v>
      </c>
      <c r="C777" s="3" t="s">
        <v>3840</v>
      </c>
      <c r="D777" s="3" t="s">
        <v>3841</v>
      </c>
      <c r="E777" s="3" t="s">
        <v>3842</v>
      </c>
      <c r="F777" s="3" t="s">
        <v>3843</v>
      </c>
      <c r="G777" s="3" t="str">
        <f t="array" ref="G777:G778">IF(ISBLANK(B777:B1570), "", XLOOKUP(B777:B1570, Sheet1!A777:A936, Sheet1!C777:C936, "Category Not Found", 0))</f>
        <v>#REF!</v>
      </c>
    </row>
    <row r="778">
      <c r="A778" s="3"/>
      <c r="B778" s="3" t="s">
        <v>3844</v>
      </c>
      <c r="C778" s="3" t="s">
        <v>3845</v>
      </c>
      <c r="D778" s="3" t="s">
        <v>3846</v>
      </c>
      <c r="E778" s="3" t="s">
        <v>3847</v>
      </c>
      <c r="F778" s="3" t="s">
        <v>3848</v>
      </c>
      <c r="G778" s="3" t="str">
        <f t="array" ref="G778:G779">IF(ISBLANK(B778:B1571), "", XLOOKUP(B778:B1571, Sheet1!A778:A937, Sheet1!C778:C937, "Category Not Found", 0))</f>
        <v>#REF!</v>
      </c>
    </row>
    <row r="779">
      <c r="A779" s="3"/>
      <c r="B779" s="3" t="s">
        <v>3849</v>
      </c>
      <c r="C779" s="3" t="s">
        <v>3850</v>
      </c>
      <c r="D779" s="3" t="s">
        <v>3851</v>
      </c>
      <c r="E779" s="3" t="s">
        <v>3852</v>
      </c>
      <c r="F779" s="3" t="s">
        <v>3853</v>
      </c>
      <c r="G779" s="3" t="str">
        <f t="array" ref="G779:G780">IF(ISBLANK(B779:B1572), "", XLOOKUP(B779:B1572, Sheet1!A779:A938, Sheet1!C779:C938, "Category Not Found", 0))</f>
        <v>#REF!</v>
      </c>
    </row>
    <row r="780">
      <c r="A780" s="3"/>
      <c r="B780" s="3" t="s">
        <v>3854</v>
      </c>
      <c r="C780" s="3" t="s">
        <v>3855</v>
      </c>
      <c r="D780" s="3" t="s">
        <v>3856</v>
      </c>
      <c r="E780" s="3" t="s">
        <v>3857</v>
      </c>
      <c r="F780" s="3" t="s">
        <v>3858</v>
      </c>
      <c r="G780" s="3" t="str">
        <f t="array" ref="G780:G781">IF(ISBLANK(B780:B1573), "", XLOOKUP(B780:B1573, Sheet1!A780:A939, Sheet1!C780:C939, "Category Not Found", 0))</f>
        <v>#REF!</v>
      </c>
    </row>
    <row r="781">
      <c r="A781" s="3"/>
      <c r="B781" s="3" t="s">
        <v>3859</v>
      </c>
      <c r="C781" s="3" t="s">
        <v>3860</v>
      </c>
      <c r="D781" s="3" t="s">
        <v>3861</v>
      </c>
      <c r="E781" s="3" t="s">
        <v>3862</v>
      </c>
      <c r="F781" s="3" t="s">
        <v>3863</v>
      </c>
      <c r="G781" s="3" t="str">
        <f t="array" ref="G781:G782">IF(ISBLANK(B781:B1574), "", XLOOKUP(B781:B1574, Sheet1!A781:A940, Sheet1!C781:C940, "Category Not Found", 0))</f>
        <v>#REF!</v>
      </c>
    </row>
    <row r="782">
      <c r="A782" s="3"/>
      <c r="B782" s="3" t="s">
        <v>3864</v>
      </c>
      <c r="C782" s="3" t="s">
        <v>3865</v>
      </c>
      <c r="D782" s="3" t="s">
        <v>3866</v>
      </c>
      <c r="E782" s="3" t="s">
        <v>3867</v>
      </c>
      <c r="F782" s="3" t="s">
        <v>3868</v>
      </c>
      <c r="G782" s="3" t="str">
        <f t="array" ref="G782:G783">IF(ISBLANK(B782:B1575), "", XLOOKUP(B782:B1575, Sheet1!A782:A941, Sheet1!C782:C941, "Category Not Found", 0))</f>
        <v>#REF!</v>
      </c>
    </row>
    <row r="783">
      <c r="A783" s="3"/>
      <c r="B783" s="3" t="s">
        <v>3869</v>
      </c>
      <c r="C783" s="3" t="s">
        <v>3870</v>
      </c>
      <c r="D783" s="3" t="s">
        <v>3871</v>
      </c>
      <c r="E783" s="3" t="s">
        <v>3872</v>
      </c>
      <c r="F783" s="3" t="s">
        <v>3873</v>
      </c>
      <c r="G783" s="3" t="str">
        <f t="array" ref="G783:G784">IF(ISBLANK(B783:B1576), "", XLOOKUP(B783:B1576, Sheet1!A783:A942, Sheet1!C783:C942, "Category Not Found", 0))</f>
        <v>#REF!</v>
      </c>
    </row>
    <row r="784">
      <c r="A784" s="3"/>
      <c r="B784" s="3" t="s">
        <v>3874</v>
      </c>
      <c r="C784" s="3" t="s">
        <v>3875</v>
      </c>
      <c r="D784" s="3" t="s">
        <v>3876</v>
      </c>
      <c r="E784" s="3" t="s">
        <v>3877</v>
      </c>
      <c r="F784" s="3" t="s">
        <v>3878</v>
      </c>
      <c r="G784" s="3" t="str">
        <f t="array" ref="G784:G785">IF(ISBLANK(B784:B1577), "", XLOOKUP(B784:B1577, Sheet1!A784:A943, Sheet1!C784:C943, "Category Not Found", 0))</f>
        <v>#REF!</v>
      </c>
    </row>
    <row r="785">
      <c r="A785" s="3"/>
      <c r="B785" s="3" t="s">
        <v>3879</v>
      </c>
      <c r="C785" s="3" t="s">
        <v>3880</v>
      </c>
      <c r="D785" s="3" t="s">
        <v>3881</v>
      </c>
      <c r="E785" s="3" t="s">
        <v>3882</v>
      </c>
      <c r="F785" s="3" t="s">
        <v>3883</v>
      </c>
      <c r="G785" s="3" t="str">
        <f t="array" ref="G785:G786">IF(ISBLANK(B785:B1578), "", XLOOKUP(B785:B1578, Sheet1!A785:A944, Sheet1!C785:C944, "Category Not Found", 0))</f>
        <v>#REF!</v>
      </c>
    </row>
    <row r="786">
      <c r="A786" s="3"/>
      <c r="B786" s="3" t="s">
        <v>3884</v>
      </c>
      <c r="C786" s="3" t="s">
        <v>3885</v>
      </c>
      <c r="D786" s="3" t="s">
        <v>3886</v>
      </c>
      <c r="E786" s="3" t="s">
        <v>3887</v>
      </c>
      <c r="F786" s="3" t="s">
        <v>3888</v>
      </c>
      <c r="G786" s="3" t="str">
        <f t="array" ref="G786:G787">IF(ISBLANK(B786:B1579), "", XLOOKUP(B786:B1579, Sheet1!A786:A945, Sheet1!C786:C945, "Category Not Found", 0))</f>
        <v>#REF!</v>
      </c>
    </row>
    <row r="787">
      <c r="A787" s="3"/>
      <c r="B787" s="3" t="s">
        <v>3889</v>
      </c>
      <c r="C787" s="3" t="s">
        <v>3890</v>
      </c>
      <c r="D787" s="3" t="s">
        <v>3891</v>
      </c>
      <c r="E787" s="3" t="s">
        <v>3892</v>
      </c>
      <c r="F787" s="3" t="s">
        <v>3893</v>
      </c>
      <c r="G787" s="3" t="str">
        <f t="array" ref="G787:G788">IF(ISBLANK(B787:B1580), "", XLOOKUP(B787:B1580, Sheet1!A787:A946, Sheet1!C787:C946, "Category Not Found", 0))</f>
        <v>#REF!</v>
      </c>
    </row>
    <row r="788">
      <c r="A788" s="3"/>
      <c r="B788" s="3" t="s">
        <v>3894</v>
      </c>
      <c r="C788" s="3" t="s">
        <v>3895</v>
      </c>
      <c r="D788" s="3" t="s">
        <v>3896</v>
      </c>
      <c r="E788" s="3" t="s">
        <v>3897</v>
      </c>
      <c r="F788" s="3" t="s">
        <v>3898</v>
      </c>
      <c r="G788" s="3" t="str">
        <f t="array" ref="G788:G789">IF(ISBLANK(B788:B1581), "", XLOOKUP(B788:B1581, Sheet1!A788:A947, Sheet1!C788:C947, "Category Not Found", 0))</f>
        <v>#REF!</v>
      </c>
    </row>
    <row r="789">
      <c r="A789" s="3"/>
      <c r="B789" s="3" t="s">
        <v>3899</v>
      </c>
      <c r="C789" s="3" t="s">
        <v>3900</v>
      </c>
      <c r="D789" s="3" t="s">
        <v>3901</v>
      </c>
      <c r="E789" s="3" t="s">
        <v>3902</v>
      </c>
      <c r="F789" s="3" t="s">
        <v>3903</v>
      </c>
      <c r="G789" s="3" t="str">
        <f t="array" ref="G789:G790">IF(ISBLANK(B789:B1582), "", XLOOKUP(B789:B1582, Sheet1!A789:A948, Sheet1!C789:C948, "Category Not Found", 0))</f>
        <v>#REF!</v>
      </c>
    </row>
    <row r="790">
      <c r="A790" s="3"/>
      <c r="B790" s="3" t="s">
        <v>3904</v>
      </c>
      <c r="C790" s="3" t="s">
        <v>3905</v>
      </c>
      <c r="D790" s="3" t="s">
        <v>3906</v>
      </c>
      <c r="E790" s="3" t="s">
        <v>3907</v>
      </c>
      <c r="F790" s="3" t="s">
        <v>3908</v>
      </c>
      <c r="G790" s="3" t="str">
        <f t="array" ref="G790:G791">IF(ISBLANK(B790:B1583), "", XLOOKUP(B790:B1583, Sheet1!A790:A949, Sheet1!C790:C949, "Category Not Found", 0))</f>
        <v>#REF!</v>
      </c>
    </row>
    <row r="791">
      <c r="A791" s="3"/>
      <c r="B791" s="3" t="s">
        <v>3909</v>
      </c>
      <c r="C791" s="3" t="s">
        <v>3910</v>
      </c>
      <c r="D791" s="3" t="s">
        <v>3911</v>
      </c>
      <c r="E791" s="3" t="s">
        <v>3912</v>
      </c>
      <c r="F791" s="3" t="s">
        <v>3913</v>
      </c>
      <c r="G791" s="3" t="str">
        <f t="array" ref="G791:G792">IF(ISBLANK(B791:B1584), "", XLOOKUP(B791:B1584, Sheet1!A791:A950, Sheet1!C791:C950, "Category Not Found", 0))</f>
        <v>#REF!</v>
      </c>
    </row>
    <row r="792">
      <c r="A792" s="3"/>
      <c r="B792" s="3" t="s">
        <v>3914</v>
      </c>
      <c r="C792" s="3" t="s">
        <v>3915</v>
      </c>
      <c r="D792" s="3" t="s">
        <v>3916</v>
      </c>
      <c r="E792" s="3" t="s">
        <v>3917</v>
      </c>
      <c r="F792" s="3" t="s">
        <v>3918</v>
      </c>
      <c r="G792" s="3" t="str">
        <f t="array" ref="G792:G793">IF(ISBLANK(B792:B1585), "", XLOOKUP(B792:B1585, Sheet1!A792:A951, Sheet1!C792:C951, "Category Not Found", 0))</f>
        <v>#REF!</v>
      </c>
    </row>
    <row r="793">
      <c r="A793" s="3"/>
      <c r="B793" s="3" t="s">
        <v>3919</v>
      </c>
      <c r="C793" s="3" t="s">
        <v>3920</v>
      </c>
      <c r="D793" s="3" t="s">
        <v>3921</v>
      </c>
      <c r="E793" s="3" t="s">
        <v>3922</v>
      </c>
      <c r="F793" s="3" t="s">
        <v>3923</v>
      </c>
      <c r="G793" s="3" t="str">
        <f t="array" ref="G793:G794">IF(ISBLANK(B793:B1586), "", XLOOKUP(B793:B1586, Sheet1!A793:A952, Sheet1!C793:C952, "Category Not Found", 0))</f>
        <v>#REF!</v>
      </c>
    </row>
    <row r="794">
      <c r="A794" s="3"/>
      <c r="B794" s="3" t="s">
        <v>3924</v>
      </c>
      <c r="C794" s="3" t="s">
        <v>3925</v>
      </c>
      <c r="D794" s="3" t="s">
        <v>3926</v>
      </c>
      <c r="E794" s="3" t="s">
        <v>3927</v>
      </c>
      <c r="F794" s="3" t="s">
        <v>3928</v>
      </c>
      <c r="G794" s="3" t="str">
        <f t="array" ref="G794:G795">IF(ISBLANK(B794:B1587), "", XLOOKUP(B794:B1587, Sheet1!A794:A953, Sheet1!C794:C953, "Category Not Found", 0))</f>
        <v>#REF!</v>
      </c>
    </row>
    <row r="795">
      <c r="A795" s="3"/>
      <c r="B795" s="3" t="s">
        <v>3929</v>
      </c>
      <c r="C795" s="3" t="s">
        <v>3930</v>
      </c>
      <c r="D795" s="3" t="s">
        <v>3931</v>
      </c>
      <c r="E795" s="3" t="s">
        <v>3932</v>
      </c>
      <c r="F795" s="3" t="s">
        <v>3933</v>
      </c>
      <c r="G795" s="3" t="str">
        <f t="array" ref="G795:G999">IF(ISBLANK(B795:B1588), "", XLOOKUP(B795:B1588, Sheet1!A795:A954, Sheet1!C795:C954, "Category Not Found", 0))</f>
        <v>Category Not Found</v>
      </c>
    </row>
    <row r="796">
      <c r="G796" s="2" t="s">
        <v>3934</v>
      </c>
    </row>
    <row r="797">
      <c r="G797" s="2" t="s">
        <v>3934</v>
      </c>
    </row>
    <row r="798">
      <c r="G798" s="2" t="s">
        <v>3934</v>
      </c>
    </row>
    <row r="799">
      <c r="G799" s="2" t="s">
        <v>3934</v>
      </c>
    </row>
    <row r="800">
      <c r="G800" s="2" t="s">
        <v>3934</v>
      </c>
    </row>
    <row r="801">
      <c r="G801" s="2" t="s">
        <v>3934</v>
      </c>
    </row>
    <row r="802">
      <c r="G802" s="2" t="s">
        <v>3934</v>
      </c>
    </row>
    <row r="803">
      <c r="G803" s="2" t="s">
        <v>3934</v>
      </c>
    </row>
    <row r="804">
      <c r="G804" s="2" t="s">
        <v>3934</v>
      </c>
    </row>
    <row r="805">
      <c r="G805" s="2" t="s">
        <v>3934</v>
      </c>
    </row>
    <row r="806">
      <c r="G806" s="2" t="s">
        <v>3934</v>
      </c>
    </row>
    <row r="807">
      <c r="G807" s="2" t="s">
        <v>3934</v>
      </c>
    </row>
    <row r="808">
      <c r="G808" s="2" t="s">
        <v>3934</v>
      </c>
    </row>
    <row r="809">
      <c r="G809" s="2" t="s">
        <v>3934</v>
      </c>
    </row>
    <row r="810">
      <c r="G810" s="2" t="s">
        <v>3934</v>
      </c>
    </row>
    <row r="811">
      <c r="G811" s="2" t="s">
        <v>3934</v>
      </c>
    </row>
    <row r="812">
      <c r="G812" s="2" t="s">
        <v>3934</v>
      </c>
    </row>
    <row r="813">
      <c r="G813" s="2" t="s">
        <v>3934</v>
      </c>
    </row>
    <row r="814">
      <c r="G814" s="2" t="s">
        <v>3934</v>
      </c>
    </row>
    <row r="815">
      <c r="G815" s="2" t="s">
        <v>3934</v>
      </c>
    </row>
    <row r="816">
      <c r="G816" s="2" t="s">
        <v>3934</v>
      </c>
    </row>
    <row r="817">
      <c r="G817" s="2" t="s">
        <v>3934</v>
      </c>
    </row>
    <row r="818">
      <c r="G818" s="2" t="s">
        <v>3934</v>
      </c>
    </row>
    <row r="819">
      <c r="G819" s="2" t="s">
        <v>3934</v>
      </c>
    </row>
    <row r="820">
      <c r="G820" s="2" t="s">
        <v>3934</v>
      </c>
    </row>
    <row r="821">
      <c r="G821" s="2" t="s">
        <v>3934</v>
      </c>
    </row>
    <row r="822">
      <c r="G822" s="2" t="s">
        <v>3934</v>
      </c>
    </row>
    <row r="823">
      <c r="G823" s="2" t="s">
        <v>3934</v>
      </c>
    </row>
    <row r="824">
      <c r="G824" s="2" t="s">
        <v>3934</v>
      </c>
    </row>
    <row r="825">
      <c r="G825" s="2" t="s">
        <v>3934</v>
      </c>
    </row>
    <row r="826">
      <c r="G826" s="2" t="s">
        <v>3934</v>
      </c>
    </row>
    <row r="827">
      <c r="G827" s="2" t="s">
        <v>3934</v>
      </c>
    </row>
    <row r="828">
      <c r="G828" s="2" t="s">
        <v>3934</v>
      </c>
    </row>
    <row r="829">
      <c r="G829" s="2" t="s">
        <v>3934</v>
      </c>
    </row>
    <row r="830">
      <c r="G830" s="2" t="s">
        <v>3934</v>
      </c>
    </row>
    <row r="831">
      <c r="G831" s="2" t="s">
        <v>3934</v>
      </c>
    </row>
    <row r="832">
      <c r="G832" s="2" t="s">
        <v>3934</v>
      </c>
    </row>
    <row r="833">
      <c r="G833" s="2" t="s">
        <v>3934</v>
      </c>
    </row>
    <row r="834">
      <c r="G834" s="2" t="s">
        <v>3934</v>
      </c>
    </row>
    <row r="835">
      <c r="G835" s="2" t="s">
        <v>3934</v>
      </c>
    </row>
    <row r="836">
      <c r="G836" s="2" t="s">
        <v>3934</v>
      </c>
    </row>
    <row r="837">
      <c r="G837" s="2" t="s">
        <v>3934</v>
      </c>
    </row>
    <row r="838">
      <c r="G838" s="2" t="s">
        <v>3934</v>
      </c>
    </row>
    <row r="839">
      <c r="G839" s="2" t="s">
        <v>3934</v>
      </c>
    </row>
    <row r="840">
      <c r="G840" s="2" t="s">
        <v>3934</v>
      </c>
    </row>
    <row r="841">
      <c r="G841" s="2" t="s">
        <v>3934</v>
      </c>
    </row>
    <row r="842">
      <c r="G842" s="2" t="s">
        <v>3934</v>
      </c>
    </row>
    <row r="843">
      <c r="G843" s="2" t="s">
        <v>3934</v>
      </c>
    </row>
    <row r="844">
      <c r="G844" s="2" t="s">
        <v>3934</v>
      </c>
    </row>
    <row r="845">
      <c r="G845" s="2" t="s">
        <v>3934</v>
      </c>
    </row>
    <row r="846">
      <c r="G846" s="2" t="s">
        <v>3934</v>
      </c>
    </row>
    <row r="847">
      <c r="G847" s="2" t="s">
        <v>3934</v>
      </c>
    </row>
    <row r="848">
      <c r="G848" s="2" t="s">
        <v>3934</v>
      </c>
    </row>
    <row r="849">
      <c r="G849" s="2" t="s">
        <v>3934</v>
      </c>
    </row>
    <row r="850">
      <c r="G850" s="2" t="s">
        <v>3934</v>
      </c>
    </row>
    <row r="851">
      <c r="G851" s="2" t="s">
        <v>3934</v>
      </c>
    </row>
    <row r="852">
      <c r="G852" s="2" t="s">
        <v>3934</v>
      </c>
    </row>
    <row r="853">
      <c r="G853" s="2" t="s">
        <v>3934</v>
      </c>
    </row>
    <row r="854">
      <c r="G854" s="2" t="s">
        <v>3934</v>
      </c>
    </row>
    <row r="855">
      <c r="G855" s="2" t="s">
        <v>3934</v>
      </c>
    </row>
    <row r="856">
      <c r="G856" s="2" t="s">
        <v>3934</v>
      </c>
    </row>
    <row r="857">
      <c r="G857" s="2" t="s">
        <v>3934</v>
      </c>
    </row>
    <row r="858">
      <c r="G858" s="2" t="s">
        <v>3934</v>
      </c>
    </row>
    <row r="859">
      <c r="G859" s="2" t="s">
        <v>3934</v>
      </c>
    </row>
    <row r="860">
      <c r="G860" s="2" t="s">
        <v>3934</v>
      </c>
    </row>
    <row r="861">
      <c r="G861" s="2" t="s">
        <v>3934</v>
      </c>
    </row>
    <row r="862">
      <c r="G862" s="2" t="s">
        <v>3934</v>
      </c>
    </row>
    <row r="863">
      <c r="G863" s="2" t="s">
        <v>3934</v>
      </c>
    </row>
    <row r="864">
      <c r="G864" s="2" t="s">
        <v>3934</v>
      </c>
    </row>
    <row r="865">
      <c r="G865" s="2" t="s">
        <v>3934</v>
      </c>
    </row>
    <row r="866">
      <c r="G866" s="2" t="s">
        <v>3934</v>
      </c>
    </row>
    <row r="867">
      <c r="G867" s="2" t="s">
        <v>3934</v>
      </c>
    </row>
    <row r="868">
      <c r="G868" s="2" t="s">
        <v>3934</v>
      </c>
    </row>
    <row r="869">
      <c r="G869" s="2" t="s">
        <v>3934</v>
      </c>
    </row>
    <row r="870">
      <c r="G870" s="2" t="s">
        <v>3934</v>
      </c>
    </row>
    <row r="871">
      <c r="G871" s="2" t="s">
        <v>3934</v>
      </c>
    </row>
    <row r="872">
      <c r="G872" s="2" t="s">
        <v>3934</v>
      </c>
    </row>
    <row r="873">
      <c r="G873" s="2" t="s">
        <v>3934</v>
      </c>
    </row>
    <row r="874">
      <c r="G874" s="2" t="s">
        <v>3934</v>
      </c>
    </row>
    <row r="875">
      <c r="G875" s="2" t="s">
        <v>3934</v>
      </c>
    </row>
    <row r="876">
      <c r="G876" s="2" t="s">
        <v>3934</v>
      </c>
    </row>
    <row r="877">
      <c r="G877" s="2" t="s">
        <v>3934</v>
      </c>
    </row>
    <row r="878">
      <c r="G878" s="2" t="s">
        <v>3934</v>
      </c>
    </row>
    <row r="879">
      <c r="G879" s="2" t="s">
        <v>3934</v>
      </c>
    </row>
    <row r="880">
      <c r="G880" s="2" t="s">
        <v>3934</v>
      </c>
    </row>
    <row r="881">
      <c r="G881" s="2" t="s">
        <v>3934</v>
      </c>
    </row>
    <row r="882">
      <c r="G882" s="2" t="s">
        <v>3934</v>
      </c>
    </row>
    <row r="883">
      <c r="G883" s="2" t="s">
        <v>3934</v>
      </c>
    </row>
    <row r="884">
      <c r="G884" s="2" t="s">
        <v>3934</v>
      </c>
    </row>
    <row r="885">
      <c r="G885" s="2" t="s">
        <v>3934</v>
      </c>
    </row>
    <row r="886">
      <c r="G886" s="2" t="s">
        <v>3934</v>
      </c>
    </row>
    <row r="887">
      <c r="G887" s="2" t="s">
        <v>3934</v>
      </c>
    </row>
    <row r="888">
      <c r="G888" s="2" t="s">
        <v>3934</v>
      </c>
    </row>
    <row r="889">
      <c r="G889" s="2" t="s">
        <v>3934</v>
      </c>
    </row>
    <row r="890">
      <c r="G890" s="2" t="s">
        <v>3934</v>
      </c>
    </row>
    <row r="891">
      <c r="G891" s="2" t="s">
        <v>3934</v>
      </c>
    </row>
    <row r="892">
      <c r="G892" s="2" t="s">
        <v>3934</v>
      </c>
    </row>
    <row r="893">
      <c r="G893" s="2" t="s">
        <v>3934</v>
      </c>
    </row>
    <row r="894">
      <c r="G894" s="2" t="s">
        <v>3934</v>
      </c>
    </row>
    <row r="895">
      <c r="G895" s="2" t="s">
        <v>3934</v>
      </c>
    </row>
    <row r="896">
      <c r="G896" s="2" t="s">
        <v>3934</v>
      </c>
    </row>
    <row r="897">
      <c r="G897" s="2" t="s">
        <v>3934</v>
      </c>
    </row>
    <row r="898">
      <c r="G898" s="2" t="s">
        <v>3934</v>
      </c>
    </row>
    <row r="899">
      <c r="G899" s="2" t="s">
        <v>3934</v>
      </c>
    </row>
    <row r="900">
      <c r="G900" s="2" t="s">
        <v>3934</v>
      </c>
    </row>
    <row r="901">
      <c r="G901" s="2" t="s">
        <v>3934</v>
      </c>
    </row>
    <row r="902">
      <c r="G902" s="2" t="s">
        <v>3934</v>
      </c>
    </row>
    <row r="903">
      <c r="G903" s="2" t="s">
        <v>3934</v>
      </c>
    </row>
    <row r="904">
      <c r="G904" s="2" t="s">
        <v>3934</v>
      </c>
    </row>
    <row r="905">
      <c r="G905" s="2" t="s">
        <v>3934</v>
      </c>
    </row>
    <row r="906">
      <c r="G906" s="2" t="s">
        <v>3934</v>
      </c>
    </row>
    <row r="907">
      <c r="G907" s="2" t="s">
        <v>3934</v>
      </c>
    </row>
    <row r="908">
      <c r="G908" s="2" t="s">
        <v>3934</v>
      </c>
    </row>
    <row r="909">
      <c r="G909" s="2" t="s">
        <v>3934</v>
      </c>
    </row>
    <row r="910">
      <c r="G910" s="2" t="s">
        <v>3934</v>
      </c>
    </row>
    <row r="911">
      <c r="G911" s="2" t="s">
        <v>3934</v>
      </c>
    </row>
    <row r="912">
      <c r="G912" s="2" t="s">
        <v>3934</v>
      </c>
    </row>
    <row r="913">
      <c r="G913" s="2" t="s">
        <v>3934</v>
      </c>
    </row>
    <row r="914">
      <c r="G914" s="2" t="s">
        <v>3934</v>
      </c>
    </row>
    <row r="915">
      <c r="G915" s="2" t="s">
        <v>3934</v>
      </c>
    </row>
    <row r="916">
      <c r="G916" s="2" t="s">
        <v>3934</v>
      </c>
    </row>
    <row r="917">
      <c r="G917" s="2" t="s">
        <v>3934</v>
      </c>
    </row>
    <row r="918">
      <c r="G918" s="2" t="s">
        <v>3934</v>
      </c>
    </row>
    <row r="919">
      <c r="G919" s="2" t="s">
        <v>3934</v>
      </c>
    </row>
    <row r="920">
      <c r="G920" s="2" t="s">
        <v>3934</v>
      </c>
    </row>
    <row r="921">
      <c r="G921" s="2" t="s">
        <v>3934</v>
      </c>
    </row>
    <row r="922">
      <c r="G922" s="2" t="s">
        <v>3934</v>
      </c>
    </row>
    <row r="923">
      <c r="G923" s="2" t="s">
        <v>3934</v>
      </c>
    </row>
    <row r="924">
      <c r="G924" s="2" t="s">
        <v>3934</v>
      </c>
    </row>
    <row r="925">
      <c r="G925" s="2" t="s">
        <v>3934</v>
      </c>
    </row>
    <row r="926">
      <c r="G926" s="2" t="s">
        <v>3934</v>
      </c>
    </row>
    <row r="927">
      <c r="G927" s="2" t="s">
        <v>3934</v>
      </c>
    </row>
    <row r="928">
      <c r="G928" s="2" t="s">
        <v>3934</v>
      </c>
    </row>
    <row r="929">
      <c r="G929" s="2" t="s">
        <v>3934</v>
      </c>
    </row>
    <row r="930">
      <c r="G930" s="2" t="s">
        <v>3934</v>
      </c>
    </row>
    <row r="931">
      <c r="G931" s="2" t="s">
        <v>3934</v>
      </c>
    </row>
    <row r="932">
      <c r="G932" s="2" t="s">
        <v>3934</v>
      </c>
    </row>
    <row r="933">
      <c r="G933" s="2" t="s">
        <v>3934</v>
      </c>
    </row>
    <row r="934">
      <c r="G934" s="2" t="s">
        <v>3934</v>
      </c>
    </row>
    <row r="935">
      <c r="G935" s="2" t="s">
        <v>3934</v>
      </c>
    </row>
    <row r="936">
      <c r="G936" s="2" t="s">
        <v>3934</v>
      </c>
    </row>
    <row r="937">
      <c r="G937" s="2" t="s">
        <v>3934</v>
      </c>
    </row>
    <row r="938">
      <c r="G938" s="2" t="s">
        <v>3934</v>
      </c>
    </row>
    <row r="939">
      <c r="G939" s="2" t="s">
        <v>3934</v>
      </c>
    </row>
    <row r="940">
      <c r="G940" s="2" t="s">
        <v>3934</v>
      </c>
    </row>
    <row r="941">
      <c r="G941" s="2" t="s">
        <v>3934</v>
      </c>
    </row>
    <row r="942">
      <c r="G942" s="2" t="s">
        <v>3934</v>
      </c>
    </row>
    <row r="943">
      <c r="G943" s="2" t="s">
        <v>3934</v>
      </c>
    </row>
    <row r="944">
      <c r="G944" s="2" t="s">
        <v>3934</v>
      </c>
    </row>
    <row r="945">
      <c r="G945" s="2" t="s">
        <v>3934</v>
      </c>
    </row>
    <row r="946">
      <c r="G946" s="2" t="s">
        <v>3934</v>
      </c>
    </row>
    <row r="947">
      <c r="G947" s="2" t="s">
        <v>3934</v>
      </c>
    </row>
    <row r="948">
      <c r="G948" s="2" t="s">
        <v>3934</v>
      </c>
    </row>
    <row r="949">
      <c r="G949" s="2" t="s">
        <v>3934</v>
      </c>
    </row>
    <row r="950">
      <c r="G950" s="2" t="s">
        <v>3934</v>
      </c>
    </row>
    <row r="951">
      <c r="G951" s="2" t="s">
        <v>3934</v>
      </c>
    </row>
    <row r="952">
      <c r="G952" s="2" t="s">
        <v>3934</v>
      </c>
    </row>
    <row r="953">
      <c r="G953" s="2" t="s">
        <v>3934</v>
      </c>
    </row>
    <row r="954">
      <c r="G954" s="2" t="s">
        <v>3934</v>
      </c>
    </row>
    <row r="955">
      <c r="G955" s="2" t="s">
        <v>3934</v>
      </c>
    </row>
    <row r="956">
      <c r="G956" s="2" t="s">
        <v>3934</v>
      </c>
    </row>
    <row r="957">
      <c r="G957" s="2" t="s">
        <v>3934</v>
      </c>
    </row>
    <row r="958">
      <c r="G958" s="2" t="s">
        <v>3934</v>
      </c>
    </row>
    <row r="959">
      <c r="G959" s="2" t="s">
        <v>3934</v>
      </c>
    </row>
    <row r="960">
      <c r="G960" s="2" t="s">
        <v>3934</v>
      </c>
    </row>
    <row r="961">
      <c r="G961" s="2" t="s">
        <v>3934</v>
      </c>
    </row>
    <row r="962">
      <c r="G962" s="2" t="s">
        <v>3934</v>
      </c>
    </row>
    <row r="963">
      <c r="G963" s="2" t="s">
        <v>3934</v>
      </c>
    </row>
    <row r="964">
      <c r="G964" s="2" t="s">
        <v>3934</v>
      </c>
    </row>
    <row r="965">
      <c r="G965" s="2" t="s">
        <v>3934</v>
      </c>
    </row>
    <row r="966">
      <c r="G966" s="2" t="s">
        <v>3934</v>
      </c>
    </row>
    <row r="967">
      <c r="G967" s="2" t="s">
        <v>3934</v>
      </c>
    </row>
    <row r="968">
      <c r="G968" s="2" t="s">
        <v>3934</v>
      </c>
    </row>
    <row r="969">
      <c r="G969" s="2" t="s">
        <v>3934</v>
      </c>
    </row>
    <row r="970">
      <c r="G970" s="2" t="s">
        <v>3934</v>
      </c>
    </row>
    <row r="971">
      <c r="G971" s="2" t="s">
        <v>3934</v>
      </c>
    </row>
    <row r="972">
      <c r="G972" s="2" t="s">
        <v>3934</v>
      </c>
    </row>
    <row r="973">
      <c r="G973" s="2" t="s">
        <v>3934</v>
      </c>
    </row>
    <row r="974">
      <c r="G974" s="2" t="s">
        <v>3934</v>
      </c>
    </row>
    <row r="975">
      <c r="G975" s="2" t="s">
        <v>3934</v>
      </c>
    </row>
    <row r="976">
      <c r="G976" s="2" t="s">
        <v>3934</v>
      </c>
    </row>
    <row r="977">
      <c r="G977" s="2" t="s">
        <v>3934</v>
      </c>
    </row>
    <row r="978">
      <c r="G978" s="2" t="s">
        <v>3934</v>
      </c>
    </row>
    <row r="979">
      <c r="G979" s="2" t="s">
        <v>3934</v>
      </c>
    </row>
    <row r="980">
      <c r="G980" s="2" t="s">
        <v>3934</v>
      </c>
    </row>
    <row r="981">
      <c r="G981" s="2" t="s">
        <v>3934</v>
      </c>
    </row>
    <row r="982">
      <c r="G982" s="2" t="s">
        <v>3934</v>
      </c>
    </row>
    <row r="983">
      <c r="G983" s="2" t="s">
        <v>3934</v>
      </c>
    </row>
    <row r="984">
      <c r="G984" s="2" t="s">
        <v>3934</v>
      </c>
    </row>
    <row r="985">
      <c r="G985" s="2" t="s">
        <v>3934</v>
      </c>
    </row>
    <row r="986">
      <c r="G986" s="2" t="s">
        <v>3934</v>
      </c>
    </row>
    <row r="987">
      <c r="G987" s="2" t="s">
        <v>3934</v>
      </c>
    </row>
    <row r="988">
      <c r="G988" s="2" t="s">
        <v>3934</v>
      </c>
    </row>
    <row r="989">
      <c r="G989" s="2" t="s">
        <v>3934</v>
      </c>
    </row>
    <row r="990">
      <c r="G990" s="2" t="s">
        <v>3934</v>
      </c>
    </row>
    <row r="991">
      <c r="G991" s="2" t="s">
        <v>3934</v>
      </c>
    </row>
    <row r="992">
      <c r="G992" s="2" t="s">
        <v>3934</v>
      </c>
    </row>
    <row r="993">
      <c r="G993" s="2" t="s">
        <v>3934</v>
      </c>
    </row>
    <row r="994">
      <c r="G994" s="2" t="s">
        <v>3934</v>
      </c>
    </row>
    <row r="995">
      <c r="G995" s="2" t="s">
        <v>3934</v>
      </c>
    </row>
    <row r="996">
      <c r="G996" s="2" t="s">
        <v>3934</v>
      </c>
    </row>
    <row r="997">
      <c r="G997" s="2" t="s">
        <v>3934</v>
      </c>
    </row>
    <row r="998">
      <c r="G998" s="2" t="s">
        <v>3934</v>
      </c>
    </row>
    <row r="999">
      <c r="G999" s="2" t="s">
        <v>3934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4.38"/>
    <col customWidth="1" min="3" max="3" width="12.75"/>
    <col customWidth="1" min="4" max="4" width="24.5"/>
  </cols>
  <sheetData>
    <row r="1">
      <c r="A1" s="3" t="s">
        <v>5</v>
      </c>
      <c r="B1" s="3" t="s">
        <v>0</v>
      </c>
      <c r="C1" s="3" t="s">
        <v>3935</v>
      </c>
      <c r="D1" s="3" t="s">
        <v>3936</v>
      </c>
    </row>
    <row r="2">
      <c r="A2" s="3" t="s">
        <v>3937</v>
      </c>
      <c r="B2" s="3" t="s">
        <v>2434</v>
      </c>
      <c r="C2" s="3" t="s">
        <v>2436</v>
      </c>
      <c r="D2" s="3" t="str">
        <f t="shared" ref="D2:D397" si="1">IF(ISBLANK(A2), D1, A2)</f>
        <v>Acoustic Specialists</v>
      </c>
    </row>
    <row r="3">
      <c r="A3" s="3" t="s">
        <v>3938</v>
      </c>
      <c r="B3" s="3" t="s">
        <v>1822</v>
      </c>
      <c r="C3" s="3" t="s">
        <v>1825</v>
      </c>
      <c r="D3" s="3" t="str">
        <f t="shared" si="1"/>
        <v>Additions</v>
      </c>
    </row>
    <row r="4">
      <c r="A4" s="3"/>
      <c r="B4" s="3" t="s">
        <v>3452</v>
      </c>
      <c r="C4" s="3" t="s">
        <v>3455</v>
      </c>
      <c r="D4" s="3" t="str">
        <f t="shared" si="1"/>
        <v>Additions</v>
      </c>
    </row>
    <row r="5">
      <c r="A5" s="3" t="s">
        <v>3939</v>
      </c>
      <c r="B5" s="3" t="s">
        <v>228</v>
      </c>
      <c r="C5" s="3" t="s">
        <v>231</v>
      </c>
      <c r="D5" s="3" t="str">
        <f t="shared" si="1"/>
        <v>Advertising/Promotions</v>
      </c>
    </row>
    <row r="6">
      <c r="A6" s="3"/>
      <c r="B6" s="3" t="s">
        <v>2091</v>
      </c>
      <c r="C6" s="3" t="s">
        <v>2094</v>
      </c>
      <c r="D6" s="3" t="str">
        <f t="shared" si="1"/>
        <v>Advertising/Promotions</v>
      </c>
    </row>
    <row r="7">
      <c r="A7" s="3"/>
      <c r="B7" s="3" t="s">
        <v>2855</v>
      </c>
      <c r="C7" s="3" t="s">
        <v>2858</v>
      </c>
      <c r="D7" s="3" t="str">
        <f t="shared" si="1"/>
        <v>Advertising/Promotions</v>
      </c>
    </row>
    <row r="8">
      <c r="A8" s="3"/>
      <c r="B8" s="3" t="s">
        <v>2999</v>
      </c>
      <c r="C8" s="3" t="s">
        <v>3002</v>
      </c>
      <c r="D8" s="3" t="str">
        <f t="shared" si="1"/>
        <v>Advertising/Promotions</v>
      </c>
    </row>
    <row r="9">
      <c r="A9" s="3"/>
      <c r="B9" s="3" t="s">
        <v>3695</v>
      </c>
      <c r="C9" s="3" t="s">
        <v>3698</v>
      </c>
      <c r="D9" s="3" t="str">
        <f t="shared" si="1"/>
        <v>Advertising/Promotions</v>
      </c>
    </row>
    <row r="10">
      <c r="A10" s="3" t="s">
        <v>3940</v>
      </c>
      <c r="B10" s="3" t="s">
        <v>1107</v>
      </c>
      <c r="C10" s="3" t="s">
        <v>1110</v>
      </c>
      <c r="D10" s="3" t="str">
        <f t="shared" si="1"/>
        <v>Air Barriers</v>
      </c>
    </row>
    <row r="11">
      <c r="A11" s="3" t="s">
        <v>3941</v>
      </c>
      <c r="B11" s="3" t="s">
        <v>540</v>
      </c>
      <c r="C11" s="3" t="s">
        <v>543</v>
      </c>
      <c r="D11" s="3" t="str">
        <f t="shared" si="1"/>
        <v>Appliances</v>
      </c>
    </row>
    <row r="12">
      <c r="A12" s="3"/>
      <c r="B12" s="3" t="s">
        <v>882</v>
      </c>
      <c r="C12" s="3" t="s">
        <v>885</v>
      </c>
      <c r="D12" s="3" t="str">
        <f t="shared" si="1"/>
        <v>Appliances</v>
      </c>
    </row>
    <row r="13">
      <c r="A13" s="3"/>
      <c r="B13" s="3" t="s">
        <v>1232</v>
      </c>
      <c r="C13" s="3" t="s">
        <v>1235</v>
      </c>
      <c r="D13" s="3" t="str">
        <f t="shared" si="1"/>
        <v>Appliances</v>
      </c>
    </row>
    <row r="14">
      <c r="A14" s="3"/>
      <c r="B14" s="3" t="s">
        <v>3942</v>
      </c>
      <c r="C14" s="3" t="s">
        <v>3943</v>
      </c>
      <c r="D14" s="3" t="str">
        <f t="shared" si="1"/>
        <v>Appliances</v>
      </c>
    </row>
    <row r="15">
      <c r="A15" s="3"/>
      <c r="B15" s="3" t="s">
        <v>2815</v>
      </c>
      <c r="C15" s="3" t="s">
        <v>2818</v>
      </c>
      <c r="D15" s="3" t="str">
        <f t="shared" si="1"/>
        <v>Appliances</v>
      </c>
    </row>
    <row r="16">
      <c r="A16" s="3"/>
      <c r="B16" s="3" t="s">
        <v>2964</v>
      </c>
      <c r="C16" s="3" t="s">
        <v>2967</v>
      </c>
      <c r="D16" s="3" t="str">
        <f t="shared" si="1"/>
        <v>Appliances</v>
      </c>
    </row>
    <row r="17">
      <c r="A17" s="3" t="s">
        <v>3944</v>
      </c>
      <c r="B17" s="3" t="s">
        <v>555</v>
      </c>
      <c r="C17" s="3" t="s">
        <v>558</v>
      </c>
      <c r="D17" s="3" t="str">
        <f t="shared" si="1"/>
        <v>Accounting</v>
      </c>
    </row>
    <row r="18">
      <c r="A18" s="3"/>
      <c r="B18" s="3" t="s">
        <v>1995</v>
      </c>
      <c r="C18" s="3" t="s">
        <v>1998</v>
      </c>
      <c r="D18" s="3" t="str">
        <f t="shared" si="1"/>
        <v>Accounting</v>
      </c>
    </row>
    <row r="19">
      <c r="A19" s="3"/>
      <c r="B19" s="3" t="s">
        <v>2670</v>
      </c>
      <c r="C19" s="3" t="s">
        <v>2673</v>
      </c>
      <c r="D19" s="3" t="str">
        <f t="shared" si="1"/>
        <v>Accounting</v>
      </c>
    </row>
    <row r="20">
      <c r="A20" s="3"/>
      <c r="B20" s="3" t="s">
        <v>3214</v>
      </c>
      <c r="C20" s="3" t="s">
        <v>3217</v>
      </c>
      <c r="D20" s="3" t="str">
        <f t="shared" si="1"/>
        <v>Accounting</v>
      </c>
    </row>
    <row r="21">
      <c r="A21" s="3" t="s">
        <v>3945</v>
      </c>
      <c r="B21" s="3" t="s">
        <v>248</v>
      </c>
      <c r="C21" s="3" t="s">
        <v>251</v>
      </c>
      <c r="D21" s="3" t="str">
        <f t="shared" si="1"/>
        <v>Architectural Services</v>
      </c>
    </row>
    <row r="22">
      <c r="A22" s="3"/>
      <c r="B22" s="3" t="s">
        <v>328</v>
      </c>
      <c r="C22" s="3" t="s">
        <v>331</v>
      </c>
      <c r="D22" s="3" t="str">
        <f t="shared" si="1"/>
        <v>Architectural Services</v>
      </c>
    </row>
    <row r="23">
      <c r="A23" s="3"/>
      <c r="B23" s="3" t="s">
        <v>413</v>
      </c>
      <c r="C23" s="3" t="s">
        <v>416</v>
      </c>
      <c r="D23" s="3" t="str">
        <f t="shared" si="1"/>
        <v>Architectural Services</v>
      </c>
    </row>
    <row r="24">
      <c r="A24" s="3"/>
      <c r="B24" s="3" t="s">
        <v>481</v>
      </c>
      <c r="C24" s="3" t="s">
        <v>484</v>
      </c>
      <c r="D24" s="3" t="str">
        <f t="shared" si="1"/>
        <v>Architectural Services</v>
      </c>
    </row>
    <row r="25">
      <c r="A25" s="3"/>
      <c r="B25" s="3" t="s">
        <v>531</v>
      </c>
      <c r="C25" s="3" t="s">
        <v>533</v>
      </c>
      <c r="D25" s="3" t="str">
        <f t="shared" si="1"/>
        <v>Architectural Services</v>
      </c>
    </row>
    <row r="26">
      <c r="A26" s="3"/>
      <c r="B26" s="3" t="s">
        <v>728</v>
      </c>
      <c r="C26" s="3" t="s">
        <v>731</v>
      </c>
      <c r="D26" s="3" t="str">
        <f t="shared" si="1"/>
        <v>Architectural Services</v>
      </c>
    </row>
    <row r="27">
      <c r="A27" s="3"/>
      <c r="B27" s="3" t="s">
        <v>847</v>
      </c>
      <c r="C27" s="3" t="s">
        <v>850</v>
      </c>
      <c r="D27" s="3" t="str">
        <f t="shared" si="1"/>
        <v>Architectural Services</v>
      </c>
    </row>
    <row r="28">
      <c r="A28" s="3"/>
      <c r="B28" s="3" t="s">
        <v>937</v>
      </c>
      <c r="C28" s="3" t="s">
        <v>940</v>
      </c>
      <c r="D28" s="3" t="str">
        <f t="shared" si="1"/>
        <v>Architectural Services</v>
      </c>
    </row>
    <row r="29">
      <c r="A29" s="3"/>
      <c r="B29" s="3" t="s">
        <v>1435</v>
      </c>
      <c r="C29" s="3" t="s">
        <v>1438</v>
      </c>
      <c r="D29" s="3" t="str">
        <f t="shared" si="1"/>
        <v>Architectural Services</v>
      </c>
    </row>
    <row r="30">
      <c r="A30" s="3"/>
      <c r="B30" s="3" t="s">
        <v>1508</v>
      </c>
      <c r="C30" s="3" t="s">
        <v>1511</v>
      </c>
      <c r="D30" s="3" t="str">
        <f t="shared" si="1"/>
        <v>Architectural Services</v>
      </c>
    </row>
    <row r="31">
      <c r="A31" s="3"/>
      <c r="B31" s="3" t="s">
        <v>1538</v>
      </c>
      <c r="C31" s="3" t="s">
        <v>1541</v>
      </c>
      <c r="D31" s="3" t="str">
        <f t="shared" si="1"/>
        <v>Architectural Services</v>
      </c>
    </row>
    <row r="32">
      <c r="A32" s="3"/>
      <c r="B32" s="3" t="s">
        <v>1603</v>
      </c>
      <c r="C32" s="3" t="s">
        <v>3946</v>
      </c>
      <c r="D32" s="3" t="str">
        <f t="shared" si="1"/>
        <v>Architectural Services</v>
      </c>
    </row>
    <row r="33">
      <c r="A33" s="3"/>
      <c r="B33" s="3" t="s">
        <v>1807</v>
      </c>
      <c r="C33" s="3" t="s">
        <v>1810</v>
      </c>
      <c r="D33" s="3" t="str">
        <f t="shared" si="1"/>
        <v>Architectural Services</v>
      </c>
    </row>
    <row r="34">
      <c r="A34" s="3"/>
      <c r="B34" s="3" t="s">
        <v>1832</v>
      </c>
      <c r="C34" s="3" t="s">
        <v>1835</v>
      </c>
      <c r="D34" s="3" t="str">
        <f t="shared" si="1"/>
        <v>Architectural Services</v>
      </c>
    </row>
    <row r="35">
      <c r="A35" s="3"/>
      <c r="B35" s="3" t="s">
        <v>2146</v>
      </c>
      <c r="C35" s="3" t="s">
        <v>2149</v>
      </c>
      <c r="D35" s="3" t="str">
        <f t="shared" si="1"/>
        <v>Architectural Services</v>
      </c>
    </row>
    <row r="36">
      <c r="A36" s="3"/>
      <c r="B36" s="3" t="s">
        <v>2166</v>
      </c>
      <c r="C36" s="3" t="s">
        <v>2169</v>
      </c>
      <c r="D36" s="3" t="str">
        <f t="shared" si="1"/>
        <v>Architectural Services</v>
      </c>
    </row>
    <row r="37">
      <c r="A37" s="3"/>
      <c r="B37" s="3" t="s">
        <v>2235</v>
      </c>
      <c r="C37" s="3" t="s">
        <v>2238</v>
      </c>
      <c r="D37" s="3" t="str">
        <f t="shared" si="1"/>
        <v>Architectural Services</v>
      </c>
    </row>
    <row r="38">
      <c r="A38" s="3"/>
      <c r="B38" s="3" t="s">
        <v>2483</v>
      </c>
      <c r="C38" s="3" t="s">
        <v>2486</v>
      </c>
      <c r="D38" s="3" t="str">
        <f t="shared" si="1"/>
        <v>Architectural Services</v>
      </c>
    </row>
    <row r="39">
      <c r="A39" s="3"/>
      <c r="B39" s="3" t="s">
        <v>2503</v>
      </c>
      <c r="C39" s="3" t="s">
        <v>2506</v>
      </c>
      <c r="D39" s="3" t="str">
        <f t="shared" si="1"/>
        <v>Architectural Services</v>
      </c>
    </row>
    <row r="40">
      <c r="A40" s="3"/>
      <c r="B40" s="3" t="s">
        <v>2745</v>
      </c>
      <c r="C40" s="3" t="s">
        <v>2748</v>
      </c>
      <c r="D40" s="3" t="str">
        <f t="shared" si="1"/>
        <v>Architectural Services</v>
      </c>
    </row>
    <row r="41">
      <c r="A41" s="3"/>
      <c r="B41" s="3" t="s">
        <v>3337</v>
      </c>
      <c r="C41" s="3" t="s">
        <v>3340</v>
      </c>
      <c r="D41" s="3" t="str">
        <f t="shared" si="1"/>
        <v>Architectural Services</v>
      </c>
    </row>
    <row r="42">
      <c r="A42" s="3"/>
      <c r="B42" s="3" t="s">
        <v>3625</v>
      </c>
      <c r="C42" s="3" t="s">
        <v>3628</v>
      </c>
      <c r="D42" s="3" t="str">
        <f t="shared" si="1"/>
        <v>Architectural Services</v>
      </c>
    </row>
    <row r="43">
      <c r="A43" s="3" t="s">
        <v>3947</v>
      </c>
      <c r="B43" s="3" t="s">
        <v>3948</v>
      </c>
      <c r="C43" s="3" t="s">
        <v>3949</v>
      </c>
      <c r="D43" s="3" t="str">
        <f t="shared" si="1"/>
        <v>Banks</v>
      </c>
    </row>
    <row r="44">
      <c r="A44" s="3"/>
      <c r="B44" s="3" t="s">
        <v>158</v>
      </c>
      <c r="C44" s="3" t="s">
        <v>161</v>
      </c>
      <c r="D44" s="3" t="str">
        <f t="shared" si="1"/>
        <v>Banks</v>
      </c>
    </row>
    <row r="45">
      <c r="A45" s="3"/>
      <c r="B45" s="3" t="s">
        <v>373</v>
      </c>
      <c r="C45" s="3" t="s">
        <v>376</v>
      </c>
      <c r="D45" s="3" t="str">
        <f t="shared" si="1"/>
        <v>Banks</v>
      </c>
    </row>
    <row r="46">
      <c r="A46" s="3"/>
      <c r="B46" s="3" t="s">
        <v>704</v>
      </c>
      <c r="C46" s="3" t="s">
        <v>707</v>
      </c>
      <c r="D46" s="3" t="str">
        <f t="shared" si="1"/>
        <v>Banks</v>
      </c>
    </row>
    <row r="47">
      <c r="A47" s="3"/>
      <c r="B47" s="3" t="s">
        <v>709</v>
      </c>
      <c r="C47" s="3" t="s">
        <v>712</v>
      </c>
      <c r="D47" s="3" t="str">
        <f t="shared" si="1"/>
        <v>Banks</v>
      </c>
    </row>
    <row r="48">
      <c r="A48" s="3"/>
      <c r="B48" s="3" t="s">
        <v>763</v>
      </c>
      <c r="C48" s="3" t="s">
        <v>766</v>
      </c>
      <c r="D48" s="3" t="str">
        <f t="shared" si="1"/>
        <v>Banks</v>
      </c>
    </row>
    <row r="49">
      <c r="A49" s="3"/>
      <c r="B49" s="3" t="s">
        <v>1563</v>
      </c>
      <c r="C49" s="3" t="s">
        <v>1566</v>
      </c>
      <c r="D49" s="3" t="str">
        <f t="shared" si="1"/>
        <v>Banks</v>
      </c>
    </row>
    <row r="50">
      <c r="A50" s="3"/>
      <c r="B50" s="3" t="s">
        <v>3610</v>
      </c>
      <c r="C50" s="3" t="s">
        <v>3613</v>
      </c>
      <c r="D50" s="3" t="str">
        <f t="shared" si="1"/>
        <v>Banks</v>
      </c>
    </row>
    <row r="51">
      <c r="A51" s="3"/>
      <c r="B51" s="3" t="s">
        <v>3804</v>
      </c>
      <c r="C51" s="3" t="s">
        <v>3807</v>
      </c>
      <c r="D51" s="3" t="str">
        <f t="shared" si="1"/>
        <v>Banks</v>
      </c>
    </row>
    <row r="52">
      <c r="A52" s="3"/>
      <c r="B52" s="3" t="s">
        <v>3950</v>
      </c>
      <c r="C52" s="3" t="s">
        <v>3951</v>
      </c>
      <c r="D52" s="3" t="str">
        <f t="shared" si="1"/>
        <v>Banks</v>
      </c>
    </row>
    <row r="53">
      <c r="A53" s="3" t="s">
        <v>3952</v>
      </c>
      <c r="B53" s="3" t="s">
        <v>605</v>
      </c>
      <c r="C53" s="3" t="s">
        <v>608</v>
      </c>
      <c r="D53" s="3" t="str">
        <f t="shared" si="1"/>
        <v>Building Materials/Supplies</v>
      </c>
    </row>
    <row r="54">
      <c r="A54" s="3"/>
      <c r="B54" s="3" t="s">
        <v>679</v>
      </c>
      <c r="C54" s="3" t="s">
        <v>682</v>
      </c>
      <c r="D54" s="3" t="str">
        <f t="shared" si="1"/>
        <v>Building Materials/Supplies</v>
      </c>
    </row>
    <row r="55">
      <c r="A55" s="3"/>
      <c r="B55" s="3" t="s">
        <v>838</v>
      </c>
      <c r="C55" s="3" t="s">
        <v>841</v>
      </c>
      <c r="D55" s="3" t="str">
        <f t="shared" si="1"/>
        <v>Building Materials/Supplies</v>
      </c>
    </row>
    <row r="56">
      <c r="A56" s="3"/>
      <c r="B56" s="3" t="s">
        <v>1217</v>
      </c>
      <c r="C56" s="3" t="s">
        <v>1220</v>
      </c>
      <c r="D56" s="3" t="str">
        <f t="shared" si="1"/>
        <v>Building Materials/Supplies</v>
      </c>
    </row>
    <row r="57">
      <c r="A57" s="3"/>
      <c r="B57" s="3" t="s">
        <v>1703</v>
      </c>
      <c r="C57" s="3" t="s">
        <v>1706</v>
      </c>
      <c r="D57" s="3" t="str">
        <f t="shared" si="1"/>
        <v>Building Materials/Supplies</v>
      </c>
    </row>
    <row r="58">
      <c r="A58" s="3"/>
      <c r="B58" s="3" t="s">
        <v>1752</v>
      </c>
      <c r="C58" s="3" t="s">
        <v>1755</v>
      </c>
      <c r="D58" s="3" t="str">
        <f t="shared" si="1"/>
        <v>Building Materials/Supplies</v>
      </c>
    </row>
    <row r="59">
      <c r="A59" s="3"/>
      <c r="B59" s="3" t="s">
        <v>2111</v>
      </c>
      <c r="C59" s="3" t="s">
        <v>2114</v>
      </c>
      <c r="D59" s="3" t="str">
        <f t="shared" si="1"/>
        <v>Building Materials/Supplies</v>
      </c>
    </row>
    <row r="60">
      <c r="A60" s="3"/>
      <c r="B60" s="3" t="s">
        <v>2116</v>
      </c>
      <c r="C60" s="3" t="s">
        <v>2119</v>
      </c>
      <c r="D60" s="3" t="str">
        <f t="shared" si="1"/>
        <v>Building Materials/Supplies</v>
      </c>
    </row>
    <row r="61">
      <c r="A61" s="3"/>
      <c r="B61" s="3" t="s">
        <v>3953</v>
      </c>
      <c r="C61" s="3" t="s">
        <v>3954</v>
      </c>
      <c r="D61" s="3" t="str">
        <f t="shared" si="1"/>
        <v>Building Materials/Supplies</v>
      </c>
    </row>
    <row r="62">
      <c r="A62" s="3"/>
      <c r="B62" s="3" t="s">
        <v>2453</v>
      </c>
      <c r="C62" s="3" t="s">
        <v>2456</v>
      </c>
      <c r="D62" s="3" t="str">
        <f t="shared" si="1"/>
        <v>Building Materials/Supplies</v>
      </c>
    </row>
    <row r="63">
      <c r="A63" s="3"/>
      <c r="B63" s="3" t="s">
        <v>2735</v>
      </c>
      <c r="C63" s="3" t="s">
        <v>2738</v>
      </c>
      <c r="D63" s="3" t="str">
        <f t="shared" si="1"/>
        <v>Building Materials/Supplies</v>
      </c>
    </row>
    <row r="64">
      <c r="A64" s="3"/>
      <c r="B64" s="3" t="s">
        <v>2820</v>
      </c>
      <c r="C64" s="3" t="s">
        <v>2823</v>
      </c>
      <c r="D64" s="3" t="str">
        <f t="shared" si="1"/>
        <v>Building Materials/Supplies</v>
      </c>
    </row>
    <row r="65">
      <c r="A65" s="3"/>
      <c r="B65" s="3" t="s">
        <v>2994</v>
      </c>
      <c r="C65" s="3" t="s">
        <v>2997</v>
      </c>
      <c r="D65" s="3" t="str">
        <f t="shared" si="1"/>
        <v>Building Materials/Supplies</v>
      </c>
    </row>
    <row r="66">
      <c r="A66" s="3"/>
      <c r="B66" s="3" t="s">
        <v>3094</v>
      </c>
      <c r="C66" s="3" t="s">
        <v>3097</v>
      </c>
      <c r="D66" s="3" t="str">
        <f t="shared" si="1"/>
        <v>Building Materials/Supplies</v>
      </c>
    </row>
    <row r="67">
      <c r="A67" s="3"/>
      <c r="B67" s="3" t="s">
        <v>3263</v>
      </c>
      <c r="C67" s="3" t="s">
        <v>3266</v>
      </c>
      <c r="D67" s="3" t="str">
        <f t="shared" si="1"/>
        <v>Building Materials/Supplies</v>
      </c>
    </row>
    <row r="68">
      <c r="A68" s="3"/>
      <c r="B68" s="3" t="s">
        <v>3313</v>
      </c>
      <c r="C68" s="3" t="s">
        <v>3955</v>
      </c>
      <c r="D68" s="3" t="str">
        <f t="shared" si="1"/>
        <v>Building Materials/Supplies</v>
      </c>
    </row>
    <row r="69">
      <c r="A69" s="3"/>
      <c r="B69" s="3" t="s">
        <v>3318</v>
      </c>
      <c r="C69" s="3" t="s">
        <v>3320</v>
      </c>
      <c r="D69" s="3" t="str">
        <f t="shared" si="1"/>
        <v>Building Materials/Supplies</v>
      </c>
    </row>
    <row r="70">
      <c r="A70" s="3" t="s">
        <v>3956</v>
      </c>
      <c r="B70" s="3" t="s">
        <v>3957</v>
      </c>
      <c r="C70" s="3" t="s">
        <v>3958</v>
      </c>
      <c r="D70" s="3" t="str">
        <f t="shared" si="1"/>
        <v>Cabinets</v>
      </c>
    </row>
    <row r="71">
      <c r="A71" s="3"/>
      <c r="B71" s="3" t="s">
        <v>659</v>
      </c>
      <c r="C71" s="3" t="s">
        <v>662</v>
      </c>
      <c r="D71" s="3" t="str">
        <f t="shared" si="1"/>
        <v>Cabinets</v>
      </c>
    </row>
    <row r="72">
      <c r="A72" s="3"/>
      <c r="B72" s="3" t="s">
        <v>3959</v>
      </c>
      <c r="C72" s="3" t="s">
        <v>3960</v>
      </c>
      <c r="D72" s="3" t="str">
        <f t="shared" si="1"/>
        <v>Cabinets</v>
      </c>
    </row>
    <row r="73">
      <c r="A73" s="3"/>
      <c r="B73" s="3" t="s">
        <v>3961</v>
      </c>
      <c r="C73" s="3" t="s">
        <v>3962</v>
      </c>
      <c r="D73" s="3" t="str">
        <f t="shared" si="1"/>
        <v>Cabinets</v>
      </c>
    </row>
    <row r="74">
      <c r="A74" s="3"/>
      <c r="B74" s="3" t="s">
        <v>1182</v>
      </c>
      <c r="C74" s="3" t="s">
        <v>1185</v>
      </c>
      <c r="D74" s="3" t="str">
        <f t="shared" si="1"/>
        <v>Cabinets</v>
      </c>
    </row>
    <row r="75">
      <c r="A75" s="3"/>
      <c r="B75" s="3" t="s">
        <v>1643</v>
      </c>
      <c r="C75" s="3" t="s">
        <v>1646</v>
      </c>
      <c r="D75" s="3" t="str">
        <f t="shared" si="1"/>
        <v>Cabinets</v>
      </c>
    </row>
    <row r="76">
      <c r="A76" s="3"/>
      <c r="B76" s="3" t="s">
        <v>1902</v>
      </c>
      <c r="C76" s="3" t="s">
        <v>1905</v>
      </c>
      <c r="D76" s="3" t="str">
        <f t="shared" si="1"/>
        <v>Cabinets</v>
      </c>
    </row>
    <row r="77">
      <c r="A77" s="3"/>
      <c r="B77" s="3" t="s">
        <v>2146</v>
      </c>
      <c r="C77" s="3" t="s">
        <v>2149</v>
      </c>
      <c r="D77" s="3" t="str">
        <f t="shared" si="1"/>
        <v>Cabinets</v>
      </c>
    </row>
    <row r="78">
      <c r="A78" s="3"/>
      <c r="B78" s="3" t="s">
        <v>2196</v>
      </c>
      <c r="C78" s="3" t="s">
        <v>2199</v>
      </c>
      <c r="D78" s="3" t="str">
        <f t="shared" si="1"/>
        <v>Cabinets</v>
      </c>
    </row>
    <row r="79">
      <c r="A79" s="3"/>
      <c r="B79" s="3" t="s">
        <v>2211</v>
      </c>
      <c r="C79" s="3" t="s">
        <v>2214</v>
      </c>
      <c r="D79" s="3" t="str">
        <f t="shared" si="1"/>
        <v>Cabinets</v>
      </c>
    </row>
    <row r="80">
      <c r="A80" s="3"/>
      <c r="B80" s="3" t="s">
        <v>2582</v>
      </c>
      <c r="C80" s="3" t="s">
        <v>2585</v>
      </c>
      <c r="D80" s="3" t="str">
        <f t="shared" si="1"/>
        <v>Cabinets</v>
      </c>
    </row>
    <row r="81">
      <c r="A81" s="3"/>
      <c r="B81" s="3" t="s">
        <v>3963</v>
      </c>
      <c r="C81" s="3" t="s">
        <v>2645</v>
      </c>
      <c r="D81" s="3" t="str">
        <f t="shared" si="1"/>
        <v>Cabinets</v>
      </c>
    </row>
    <row r="82">
      <c r="A82" s="3"/>
      <c r="B82" s="3" t="s">
        <v>3964</v>
      </c>
      <c r="C82" s="3" t="s">
        <v>2753</v>
      </c>
      <c r="D82" s="3" t="str">
        <f t="shared" si="1"/>
        <v>Cabinets</v>
      </c>
    </row>
    <row r="83">
      <c r="A83" s="3"/>
      <c r="B83" s="3" t="s">
        <v>2904</v>
      </c>
      <c r="C83" s="3" t="s">
        <v>2907</v>
      </c>
      <c r="D83" s="3" t="str">
        <f t="shared" si="1"/>
        <v>Cabinets</v>
      </c>
    </row>
    <row r="84">
      <c r="A84" s="3"/>
      <c r="B84" s="3" t="s">
        <v>2914</v>
      </c>
      <c r="C84" s="3" t="s">
        <v>2917</v>
      </c>
      <c r="D84" s="3" t="str">
        <f t="shared" si="1"/>
        <v>Cabinets</v>
      </c>
    </row>
    <row r="85">
      <c r="A85" s="3"/>
      <c r="B85" s="3" t="s">
        <v>2979</v>
      </c>
      <c r="C85" s="3" t="s">
        <v>2982</v>
      </c>
      <c r="D85" s="3" t="str">
        <f t="shared" si="1"/>
        <v>Cabinets</v>
      </c>
    </row>
    <row r="86">
      <c r="A86" s="3"/>
      <c r="B86" s="3" t="s">
        <v>3014</v>
      </c>
      <c r="C86" s="3" t="s">
        <v>3017</v>
      </c>
      <c r="D86" s="3" t="str">
        <f t="shared" si="1"/>
        <v>Cabinets</v>
      </c>
    </row>
    <row r="87">
      <c r="A87" s="3"/>
      <c r="B87" s="3" t="s">
        <v>3462</v>
      </c>
      <c r="C87" s="3" t="s">
        <v>3460</v>
      </c>
      <c r="D87" s="3" t="str">
        <f t="shared" si="1"/>
        <v>Cabinets</v>
      </c>
    </row>
    <row r="88">
      <c r="A88" s="3"/>
      <c r="B88" s="3" t="s">
        <v>3965</v>
      </c>
      <c r="C88" s="3" t="s">
        <v>3902</v>
      </c>
      <c r="D88" s="3" t="str">
        <f t="shared" si="1"/>
        <v>Cabinets</v>
      </c>
    </row>
    <row r="89">
      <c r="A89" s="3"/>
      <c r="B89" s="3" t="s">
        <v>3904</v>
      </c>
      <c r="C89" s="3" t="s">
        <v>3907</v>
      </c>
      <c r="D89" s="3" t="str">
        <f t="shared" si="1"/>
        <v>Cabinets</v>
      </c>
    </row>
    <row r="90">
      <c r="A90" s="3"/>
      <c r="B90" s="3" t="s">
        <v>3919</v>
      </c>
      <c r="C90" s="3" t="s">
        <v>3922</v>
      </c>
      <c r="D90" s="3" t="str">
        <f t="shared" si="1"/>
        <v>Cabinets</v>
      </c>
    </row>
    <row r="91">
      <c r="A91" s="3" t="s">
        <v>3966</v>
      </c>
      <c r="B91" s="3" t="s">
        <v>31</v>
      </c>
      <c r="C91" s="3" t="s">
        <v>34</v>
      </c>
      <c r="D91" s="3" t="str">
        <f t="shared" si="1"/>
        <v>Cleaning Services</v>
      </c>
    </row>
    <row r="92">
      <c r="A92" s="3"/>
      <c r="B92" s="3" t="s">
        <v>428</v>
      </c>
      <c r="C92" s="3" t="s">
        <v>431</v>
      </c>
      <c r="D92" s="3" t="str">
        <f t="shared" si="1"/>
        <v>Cleaning Services</v>
      </c>
    </row>
    <row r="93">
      <c r="A93" s="3"/>
      <c r="B93" s="3" t="s">
        <v>808</v>
      </c>
      <c r="C93" s="3" t="s">
        <v>811</v>
      </c>
      <c r="D93" s="3" t="str">
        <f t="shared" si="1"/>
        <v>Cleaning Services</v>
      </c>
    </row>
    <row r="94">
      <c r="A94" s="3"/>
      <c r="B94" s="3" t="s">
        <v>1887</v>
      </c>
      <c r="C94" s="3" t="s">
        <v>1890</v>
      </c>
      <c r="D94" s="3" t="str">
        <f t="shared" si="1"/>
        <v>Cleaning Services</v>
      </c>
    </row>
    <row r="95">
      <c r="A95" s="3"/>
      <c r="B95" s="3" t="s">
        <v>3119</v>
      </c>
      <c r="C95" s="3" t="s">
        <v>3122</v>
      </c>
      <c r="D95" s="3" t="str">
        <f t="shared" si="1"/>
        <v>Cleaning Services</v>
      </c>
    </row>
    <row r="96">
      <c r="A96" s="3"/>
      <c r="B96" s="3" t="s">
        <v>3879</v>
      </c>
      <c r="C96" s="3" t="s">
        <v>3882</v>
      </c>
      <c r="D96" s="3" t="str">
        <f t="shared" si="1"/>
        <v>Cleaning Services</v>
      </c>
    </row>
    <row r="97">
      <c r="A97" s="3" t="s">
        <v>3967</v>
      </c>
      <c r="B97" s="3" t="s">
        <v>3968</v>
      </c>
      <c r="C97" s="3" t="s">
        <v>1035</v>
      </c>
      <c r="D97" s="3" t="str">
        <f t="shared" si="1"/>
        <v>Concrete Contractors</v>
      </c>
    </row>
    <row r="98">
      <c r="A98" s="3"/>
      <c r="B98" s="3" t="s">
        <v>1187</v>
      </c>
      <c r="C98" s="3" t="s">
        <v>1190</v>
      </c>
      <c r="D98" s="3" t="str">
        <f t="shared" si="1"/>
        <v>Concrete Contractors</v>
      </c>
    </row>
    <row r="99">
      <c r="A99" s="3"/>
      <c r="B99" s="3" t="s">
        <v>1317</v>
      </c>
      <c r="C99" s="3" t="s">
        <v>1320</v>
      </c>
      <c r="D99" s="3" t="str">
        <f t="shared" si="1"/>
        <v>Concrete Contractors</v>
      </c>
    </row>
    <row r="100">
      <c r="A100" s="3"/>
      <c r="B100" s="3" t="s">
        <v>1402</v>
      </c>
      <c r="C100" s="3" t="s">
        <v>1404</v>
      </c>
      <c r="D100" s="3" t="str">
        <f t="shared" si="1"/>
        <v>Concrete Contractors</v>
      </c>
    </row>
    <row r="101">
      <c r="A101" s="3"/>
      <c r="B101" s="3" t="s">
        <v>1503</v>
      </c>
      <c r="C101" s="3" t="s">
        <v>1506</v>
      </c>
      <c r="D101" s="3" t="str">
        <f t="shared" si="1"/>
        <v>Concrete Contractors</v>
      </c>
    </row>
    <row r="102">
      <c r="A102" s="3"/>
      <c r="B102" s="3" t="s">
        <v>1812</v>
      </c>
      <c r="C102" s="3" t="s">
        <v>1815</v>
      </c>
      <c r="D102" s="3" t="str">
        <f t="shared" si="1"/>
        <v>Concrete Contractors</v>
      </c>
    </row>
    <row r="103">
      <c r="A103" s="3"/>
      <c r="B103" s="3" t="s">
        <v>1925</v>
      </c>
      <c r="C103" s="3" t="s">
        <v>1928</v>
      </c>
      <c r="D103" s="3" t="str">
        <f t="shared" si="1"/>
        <v>Concrete Contractors</v>
      </c>
    </row>
    <row r="104">
      <c r="A104" s="3"/>
      <c r="B104" s="3" t="s">
        <v>2410</v>
      </c>
      <c r="C104" s="3" t="s">
        <v>2427</v>
      </c>
      <c r="D104" s="3" t="str">
        <f t="shared" si="1"/>
        <v>Concrete Contractors</v>
      </c>
    </row>
    <row r="105">
      <c r="A105" s="3"/>
      <c r="B105" s="3" t="s">
        <v>2675</v>
      </c>
      <c r="C105" s="3" t="s">
        <v>2678</v>
      </c>
      <c r="D105" s="3" t="str">
        <f t="shared" si="1"/>
        <v>Concrete Contractors</v>
      </c>
    </row>
    <row r="106">
      <c r="A106" s="3"/>
      <c r="B106" s="3" t="s">
        <v>2949</v>
      </c>
      <c r="C106" s="3" t="s">
        <v>2952</v>
      </c>
      <c r="D106" s="3" t="str">
        <f t="shared" si="1"/>
        <v>Concrete Contractors</v>
      </c>
    </row>
    <row r="107">
      <c r="A107" s="3"/>
      <c r="B107" s="3" t="s">
        <v>3129</v>
      </c>
      <c r="C107" s="3" t="s">
        <v>3132</v>
      </c>
      <c r="D107" s="3" t="str">
        <f t="shared" si="1"/>
        <v>Concrete Contractors</v>
      </c>
    </row>
    <row r="108">
      <c r="A108" s="3"/>
      <c r="B108" s="3" t="s">
        <v>3969</v>
      </c>
      <c r="C108" s="3" t="s">
        <v>3758</v>
      </c>
      <c r="D108" s="3" t="str">
        <f t="shared" si="1"/>
        <v>Concrete Contractors</v>
      </c>
    </row>
    <row r="109">
      <c r="A109" s="3"/>
      <c r="B109" s="3" t="s">
        <v>3914</v>
      </c>
      <c r="C109" s="3" t="s">
        <v>3917</v>
      </c>
      <c r="D109" s="3" t="str">
        <f t="shared" si="1"/>
        <v>Concrete Contractors</v>
      </c>
    </row>
    <row r="110">
      <c r="A110" s="3" t="s">
        <v>3970</v>
      </c>
      <c r="B110" s="3" t="s">
        <v>36</v>
      </c>
      <c r="C110" s="3" t="s">
        <v>39</v>
      </c>
      <c r="D110" s="3" t="str">
        <f t="shared" si="1"/>
        <v>Countertops</v>
      </c>
    </row>
    <row r="111">
      <c r="A111" s="3"/>
      <c r="B111" s="3" t="s">
        <v>408</v>
      </c>
      <c r="C111" s="3" t="s">
        <v>411</v>
      </c>
      <c r="D111" s="3" t="str">
        <f t="shared" si="1"/>
        <v>Countertops</v>
      </c>
    </row>
    <row r="112">
      <c r="A112" s="3"/>
      <c r="B112" s="3" t="s">
        <v>423</v>
      </c>
      <c r="C112" s="3" t="s">
        <v>426</v>
      </c>
      <c r="D112" s="3" t="str">
        <f t="shared" si="1"/>
        <v>Countertops</v>
      </c>
    </row>
    <row r="113">
      <c r="A113" s="3"/>
      <c r="B113" s="3" t="s">
        <v>486</v>
      </c>
      <c r="C113" s="3" t="s">
        <v>489</v>
      </c>
      <c r="D113" s="3" t="str">
        <f t="shared" si="1"/>
        <v>Countertops</v>
      </c>
    </row>
    <row r="114">
      <c r="A114" s="3"/>
      <c r="B114" s="3" t="s">
        <v>907</v>
      </c>
      <c r="C114" s="3" t="s">
        <v>910</v>
      </c>
      <c r="D114" s="3" t="str">
        <f t="shared" si="1"/>
        <v>Countertops</v>
      </c>
    </row>
    <row r="115">
      <c r="A115" s="3"/>
      <c r="B115" s="3" t="s">
        <v>1397</v>
      </c>
      <c r="C115" s="3" t="s">
        <v>1400</v>
      </c>
      <c r="D115" s="3" t="str">
        <f t="shared" si="1"/>
        <v>Countertops</v>
      </c>
    </row>
    <row r="116">
      <c r="A116" s="3"/>
      <c r="B116" s="3" t="s">
        <v>2265</v>
      </c>
      <c r="C116" s="3" t="s">
        <v>2268</v>
      </c>
      <c r="D116" s="3" t="str">
        <f t="shared" si="1"/>
        <v>Countertops</v>
      </c>
    </row>
    <row r="117">
      <c r="A117" s="3"/>
      <c r="B117" s="3" t="s">
        <v>2587</v>
      </c>
      <c r="C117" s="3" t="s">
        <v>2590</v>
      </c>
      <c r="D117" s="3" t="str">
        <f t="shared" si="1"/>
        <v>Countertops</v>
      </c>
    </row>
    <row r="118">
      <c r="A118" s="3"/>
      <c r="B118" s="3" t="s">
        <v>2929</v>
      </c>
      <c r="C118" s="3" t="s">
        <v>2932</v>
      </c>
      <c r="D118" s="3" t="str">
        <f t="shared" si="1"/>
        <v>Countertops</v>
      </c>
    </row>
    <row r="119">
      <c r="A119" s="3"/>
      <c r="B119" s="3" t="s">
        <v>3971</v>
      </c>
      <c r="C119" s="3" t="s">
        <v>3450</v>
      </c>
      <c r="D119" s="3" t="str">
        <f t="shared" si="1"/>
        <v>Countertops</v>
      </c>
    </row>
    <row r="120">
      <c r="A120" s="3" t="s">
        <v>3972</v>
      </c>
      <c r="B120" s="3" t="s">
        <v>3973</v>
      </c>
      <c r="C120" s="3" t="s">
        <v>9</v>
      </c>
      <c r="D120" s="3" t="str">
        <f t="shared" si="1"/>
        <v>Custom Homebuilders</v>
      </c>
    </row>
    <row r="121">
      <c r="A121" s="3"/>
      <c r="B121" s="3" t="s">
        <v>198</v>
      </c>
      <c r="C121" s="3" t="s">
        <v>201</v>
      </c>
      <c r="D121" s="3" t="str">
        <f t="shared" si="1"/>
        <v>Custom Homebuilders</v>
      </c>
    </row>
    <row r="122">
      <c r="A122" s="3"/>
      <c r="B122" s="3" t="s">
        <v>218</v>
      </c>
      <c r="C122" s="3" t="s">
        <v>221</v>
      </c>
      <c r="D122" s="3" t="str">
        <f t="shared" si="1"/>
        <v>Custom Homebuilders</v>
      </c>
    </row>
    <row r="123">
      <c r="A123" s="3"/>
      <c r="B123" s="3" t="s">
        <v>506</v>
      </c>
      <c r="C123" s="3" t="s">
        <v>509</v>
      </c>
      <c r="D123" s="3" t="str">
        <f t="shared" si="1"/>
        <v>Custom Homebuilders</v>
      </c>
    </row>
    <row r="124">
      <c r="A124" s="3"/>
      <c r="B124" s="3" t="s">
        <v>516</v>
      </c>
      <c r="C124" s="3" t="s">
        <v>519</v>
      </c>
      <c r="D124" s="3" t="str">
        <f t="shared" si="1"/>
        <v>Custom Homebuilders</v>
      </c>
    </row>
    <row r="125">
      <c r="A125" s="3"/>
      <c r="B125" s="3" t="s">
        <v>669</v>
      </c>
      <c r="C125" s="3" t="s">
        <v>672</v>
      </c>
      <c r="D125" s="3" t="str">
        <f t="shared" si="1"/>
        <v>Custom Homebuilders</v>
      </c>
    </row>
    <row r="126">
      <c r="A126" s="3"/>
      <c r="B126" s="3" t="s">
        <v>3974</v>
      </c>
      <c r="C126" s="3" t="s">
        <v>692</v>
      </c>
      <c r="D126" s="3" t="str">
        <f t="shared" si="1"/>
        <v>Custom Homebuilders</v>
      </c>
    </row>
    <row r="127">
      <c r="A127" s="3"/>
      <c r="B127" s="3" t="s">
        <v>694</v>
      </c>
      <c r="C127" s="3" t="s">
        <v>697</v>
      </c>
      <c r="D127" s="3" t="str">
        <f t="shared" si="1"/>
        <v>Custom Homebuilders</v>
      </c>
    </row>
    <row r="128">
      <c r="A128" s="3"/>
      <c r="B128" s="3" t="s">
        <v>778</v>
      </c>
      <c r="C128" s="3" t="s">
        <v>781</v>
      </c>
      <c r="D128" s="3" t="str">
        <f t="shared" si="1"/>
        <v>Custom Homebuilders</v>
      </c>
    </row>
    <row r="129">
      <c r="A129" s="3"/>
      <c r="B129" s="3" t="s">
        <v>867</v>
      </c>
      <c r="C129" s="3" t="s">
        <v>870</v>
      </c>
      <c r="D129" s="3" t="str">
        <f t="shared" si="1"/>
        <v>Custom Homebuilders</v>
      </c>
    </row>
    <row r="130">
      <c r="A130" s="3"/>
      <c r="B130" s="3" t="s">
        <v>912</v>
      </c>
      <c r="C130" s="3" t="s">
        <v>915</v>
      </c>
      <c r="D130" s="3" t="str">
        <f t="shared" si="1"/>
        <v>Custom Homebuilders</v>
      </c>
    </row>
    <row r="131">
      <c r="A131" s="3"/>
      <c r="B131" s="3" t="s">
        <v>972</v>
      </c>
      <c r="C131" s="3" t="s">
        <v>975</v>
      </c>
      <c r="D131" s="3" t="str">
        <f t="shared" si="1"/>
        <v>Custom Homebuilders</v>
      </c>
    </row>
    <row r="132">
      <c r="A132" s="3"/>
      <c r="B132" s="3" t="s">
        <v>3975</v>
      </c>
      <c r="C132" s="3" t="s">
        <v>1085</v>
      </c>
      <c r="D132" s="3" t="str">
        <f t="shared" si="1"/>
        <v>Custom Homebuilders</v>
      </c>
    </row>
    <row r="133">
      <c r="A133" s="3"/>
      <c r="B133" s="3" t="s">
        <v>1406</v>
      </c>
      <c r="C133" s="3" t="s">
        <v>1408</v>
      </c>
      <c r="D133" s="3" t="str">
        <f t="shared" si="1"/>
        <v>Custom Homebuilders</v>
      </c>
    </row>
    <row r="134">
      <c r="A134" s="3"/>
      <c r="B134" s="3" t="s">
        <v>3976</v>
      </c>
      <c r="C134" s="3" t="s">
        <v>3977</v>
      </c>
      <c r="D134" s="3" t="str">
        <f t="shared" si="1"/>
        <v>Custom Homebuilders</v>
      </c>
    </row>
    <row r="135">
      <c r="A135" s="3"/>
      <c r="B135" s="3" t="s">
        <v>3978</v>
      </c>
      <c r="C135" s="3" t="s">
        <v>3979</v>
      </c>
      <c r="D135" s="3" t="str">
        <f t="shared" si="1"/>
        <v>Custom Homebuilders</v>
      </c>
    </row>
    <row r="136">
      <c r="A136" s="3"/>
      <c r="B136" s="3" t="s">
        <v>3980</v>
      </c>
      <c r="C136" s="3" t="s">
        <v>1521</v>
      </c>
      <c r="D136" s="3" t="str">
        <f t="shared" si="1"/>
        <v>Custom Homebuilders</v>
      </c>
    </row>
    <row r="137">
      <c r="A137" s="3"/>
      <c r="B137" s="3" t="s">
        <v>1488</v>
      </c>
      <c r="C137" s="3" t="s">
        <v>1491</v>
      </c>
      <c r="D137" s="3" t="str">
        <f t="shared" si="1"/>
        <v>Custom Homebuilders</v>
      </c>
    </row>
    <row r="138">
      <c r="A138" s="3"/>
      <c r="B138" s="3" t="s">
        <v>3981</v>
      </c>
      <c r="C138" s="3" t="s">
        <v>1501</v>
      </c>
      <c r="D138" s="3" t="str">
        <f t="shared" si="1"/>
        <v>Custom Homebuilders</v>
      </c>
    </row>
    <row r="139">
      <c r="A139" s="3"/>
      <c r="B139" s="3" t="s">
        <v>1523</v>
      </c>
      <c r="C139" s="3" t="s">
        <v>1526</v>
      </c>
      <c r="D139" s="3" t="str">
        <f t="shared" si="1"/>
        <v>Custom Homebuilders</v>
      </c>
    </row>
    <row r="140">
      <c r="A140" s="3"/>
      <c r="B140" s="3" t="s">
        <v>1553</v>
      </c>
      <c r="C140" s="3" t="s">
        <v>1556</v>
      </c>
      <c r="D140" s="3" t="str">
        <f t="shared" si="1"/>
        <v>Custom Homebuilders</v>
      </c>
    </row>
    <row r="141">
      <c r="A141" s="3"/>
      <c r="B141" s="3" t="s">
        <v>1578</v>
      </c>
      <c r="C141" s="3" t="s">
        <v>1581</v>
      </c>
      <c r="D141" s="3" t="str">
        <f t="shared" si="1"/>
        <v>Custom Homebuilders</v>
      </c>
    </row>
    <row r="142">
      <c r="A142" s="3"/>
      <c r="B142" s="3" t="s">
        <v>1583</v>
      </c>
      <c r="C142" s="3" t="s">
        <v>1586</v>
      </c>
      <c r="D142" s="3" t="str">
        <f t="shared" si="1"/>
        <v>Custom Homebuilders</v>
      </c>
    </row>
    <row r="143">
      <c r="A143" s="3"/>
      <c r="B143" s="3" t="s">
        <v>1613</v>
      </c>
      <c r="C143" s="3" t="s">
        <v>1616</v>
      </c>
      <c r="D143" s="3" t="str">
        <f t="shared" si="1"/>
        <v>Custom Homebuilders</v>
      </c>
    </row>
    <row r="144">
      <c r="A144" s="3"/>
      <c r="B144" s="3" t="s">
        <v>1673</v>
      </c>
      <c r="C144" s="3" t="s">
        <v>1676</v>
      </c>
      <c r="D144" s="3" t="str">
        <f t="shared" si="1"/>
        <v>Custom Homebuilders</v>
      </c>
    </row>
    <row r="145">
      <c r="A145" s="3"/>
      <c r="B145" s="3" t="s">
        <v>1747</v>
      </c>
      <c r="C145" s="3" t="s">
        <v>1750</v>
      </c>
      <c r="D145" s="3" t="str">
        <f t="shared" si="1"/>
        <v>Custom Homebuilders</v>
      </c>
    </row>
    <row r="146">
      <c r="A146" s="3"/>
      <c r="B146" s="3" t="s">
        <v>3982</v>
      </c>
      <c r="C146" s="3" t="s">
        <v>1885</v>
      </c>
      <c r="D146" s="3" t="str">
        <f t="shared" si="1"/>
        <v>Custom Homebuilders</v>
      </c>
    </row>
    <row r="147">
      <c r="A147" s="3"/>
      <c r="B147" s="3" t="s">
        <v>1907</v>
      </c>
      <c r="C147" s="3" t="s">
        <v>1910</v>
      </c>
      <c r="D147" s="3" t="str">
        <f t="shared" si="1"/>
        <v>Custom Homebuilders</v>
      </c>
    </row>
    <row r="148">
      <c r="A148" s="3"/>
      <c r="B148" s="3" t="s">
        <v>1940</v>
      </c>
      <c r="C148" s="3" t="s">
        <v>1943</v>
      </c>
      <c r="D148" s="3" t="str">
        <f t="shared" si="1"/>
        <v>Custom Homebuilders</v>
      </c>
    </row>
    <row r="149">
      <c r="A149" s="3"/>
      <c r="B149" s="3" t="s">
        <v>3983</v>
      </c>
      <c r="C149" s="3" t="s">
        <v>1963</v>
      </c>
      <c r="D149" s="3" t="str">
        <f t="shared" si="1"/>
        <v>Custom Homebuilders</v>
      </c>
    </row>
    <row r="150">
      <c r="A150" s="3"/>
      <c r="B150" s="3" t="s">
        <v>2046</v>
      </c>
      <c r="C150" s="3" t="s">
        <v>2049</v>
      </c>
      <c r="D150" s="3" t="str">
        <f t="shared" si="1"/>
        <v>Custom Homebuilders</v>
      </c>
    </row>
    <row r="151">
      <c r="A151" s="3"/>
      <c r="B151" s="3" t="s">
        <v>2126</v>
      </c>
      <c r="C151" s="3" t="s">
        <v>2129</v>
      </c>
      <c r="D151" s="3" t="str">
        <f t="shared" si="1"/>
        <v>Custom Homebuilders</v>
      </c>
    </row>
    <row r="152">
      <c r="A152" s="3"/>
      <c r="B152" s="3" t="s">
        <v>2161</v>
      </c>
      <c r="C152" s="3" t="s">
        <v>2164</v>
      </c>
      <c r="D152" s="3" t="str">
        <f t="shared" si="1"/>
        <v>Custom Homebuilders</v>
      </c>
    </row>
    <row r="153">
      <c r="A153" s="3"/>
      <c r="B153" s="3" t="s">
        <v>2240</v>
      </c>
      <c r="C153" s="3" t="s">
        <v>2243</v>
      </c>
      <c r="D153" s="3" t="str">
        <f t="shared" si="1"/>
        <v>Custom Homebuilders</v>
      </c>
    </row>
    <row r="154">
      <c r="A154" s="3"/>
      <c r="B154" s="3" t="s">
        <v>2425</v>
      </c>
      <c r="C154" s="3" t="s">
        <v>2413</v>
      </c>
      <c r="D154" s="3" t="str">
        <f t="shared" si="1"/>
        <v>Custom Homebuilders</v>
      </c>
    </row>
    <row r="155">
      <c r="A155" s="3"/>
      <c r="B155" s="3" t="s">
        <v>2473</v>
      </c>
      <c r="C155" s="3" t="s">
        <v>2476</v>
      </c>
      <c r="D155" s="3" t="str">
        <f t="shared" si="1"/>
        <v>Custom Homebuilders</v>
      </c>
    </row>
    <row r="156">
      <c r="A156" s="3"/>
      <c r="B156" s="3" t="s">
        <v>2543</v>
      </c>
      <c r="C156" s="3" t="s">
        <v>2546</v>
      </c>
      <c r="D156" s="3" t="str">
        <f t="shared" si="1"/>
        <v>Custom Homebuilders</v>
      </c>
    </row>
    <row r="157">
      <c r="A157" s="3"/>
      <c r="B157" s="3" t="s">
        <v>2548</v>
      </c>
      <c r="C157" s="3" t="s">
        <v>2149</v>
      </c>
      <c r="D157" s="3" t="str">
        <f t="shared" si="1"/>
        <v>Custom Homebuilders</v>
      </c>
    </row>
    <row r="158">
      <c r="A158" s="3"/>
      <c r="B158" s="3" t="s">
        <v>2637</v>
      </c>
      <c r="C158" s="3" t="s">
        <v>2640</v>
      </c>
      <c r="D158" s="3" t="str">
        <f t="shared" si="1"/>
        <v>Custom Homebuilders</v>
      </c>
    </row>
    <row r="159">
      <c r="A159" s="3"/>
      <c r="B159" s="3" t="s">
        <v>2730</v>
      </c>
      <c r="C159" s="3" t="s">
        <v>2733</v>
      </c>
      <c r="D159" s="3" t="str">
        <f t="shared" si="1"/>
        <v>Custom Homebuilders</v>
      </c>
    </row>
    <row r="160">
      <c r="A160" s="3"/>
      <c r="B160" s="3" t="s">
        <v>2755</v>
      </c>
      <c r="C160" s="3" t="s">
        <v>2758</v>
      </c>
      <c r="D160" s="3" t="str">
        <f t="shared" si="1"/>
        <v>Custom Homebuilders</v>
      </c>
    </row>
    <row r="161">
      <c r="A161" s="3"/>
      <c r="B161" s="3" t="s">
        <v>3984</v>
      </c>
      <c r="C161" s="3" t="s">
        <v>2763</v>
      </c>
      <c r="D161" s="3" t="str">
        <f t="shared" si="1"/>
        <v>Custom Homebuilders</v>
      </c>
    </row>
    <row r="162">
      <c r="A162" s="3"/>
      <c r="B162" s="3" t="s">
        <v>2785</v>
      </c>
      <c r="C162" s="3" t="s">
        <v>2788</v>
      </c>
      <c r="D162" s="3" t="str">
        <f t="shared" si="1"/>
        <v>Custom Homebuilders</v>
      </c>
    </row>
    <row r="163">
      <c r="A163" s="3"/>
      <c r="B163" s="3" t="s">
        <v>2800</v>
      </c>
      <c r="C163" s="3" t="s">
        <v>3985</v>
      </c>
      <c r="D163" s="3" t="str">
        <f t="shared" si="1"/>
        <v>Custom Homebuilders</v>
      </c>
    </row>
    <row r="164">
      <c r="A164" s="3"/>
      <c r="B164" s="3" t="s">
        <v>2919</v>
      </c>
      <c r="C164" s="3" t="s">
        <v>2922</v>
      </c>
      <c r="D164" s="3" t="str">
        <f t="shared" si="1"/>
        <v>Custom Homebuilders</v>
      </c>
    </row>
    <row r="165">
      <c r="A165" s="3"/>
      <c r="B165" s="3" t="s">
        <v>3986</v>
      </c>
      <c r="C165" s="3" t="s">
        <v>3987</v>
      </c>
      <c r="D165" s="3" t="str">
        <f t="shared" si="1"/>
        <v>Custom Homebuilders</v>
      </c>
    </row>
    <row r="166">
      <c r="A166" s="3"/>
      <c r="B166" s="3" t="s">
        <v>2989</v>
      </c>
      <c r="C166" s="3" t="s">
        <v>2992</v>
      </c>
      <c r="D166" s="3" t="str">
        <f t="shared" si="1"/>
        <v>Custom Homebuilders</v>
      </c>
    </row>
    <row r="167">
      <c r="A167" s="3"/>
      <c r="B167" s="3" t="s">
        <v>3054</v>
      </c>
      <c r="C167" s="3" t="s">
        <v>3057</v>
      </c>
      <c r="D167" s="3" t="str">
        <f t="shared" si="1"/>
        <v>Custom Homebuilders</v>
      </c>
    </row>
    <row r="168">
      <c r="A168" s="3"/>
      <c r="B168" s="3" t="s">
        <v>3069</v>
      </c>
      <c r="C168" s="3" t="s">
        <v>3072</v>
      </c>
      <c r="D168" s="3" t="str">
        <f t="shared" si="1"/>
        <v>Custom Homebuilders</v>
      </c>
    </row>
    <row r="169">
      <c r="A169" s="3"/>
      <c r="B169" s="3" t="s">
        <v>3074</v>
      </c>
      <c r="C169" s="3" t="s">
        <v>3077</v>
      </c>
      <c r="D169" s="3" t="str">
        <f t="shared" si="1"/>
        <v>Custom Homebuilders</v>
      </c>
    </row>
    <row r="170">
      <c r="A170" s="3"/>
      <c r="B170" s="3" t="s">
        <v>3084</v>
      </c>
      <c r="C170" s="3" t="s">
        <v>3087</v>
      </c>
      <c r="D170" s="3" t="str">
        <f t="shared" si="1"/>
        <v>Custom Homebuilders</v>
      </c>
    </row>
    <row r="171">
      <c r="A171" s="3"/>
      <c r="B171" s="3" t="s">
        <v>3229</v>
      </c>
      <c r="C171" s="3" t="s">
        <v>3232</v>
      </c>
      <c r="D171" s="3" t="str">
        <f t="shared" si="1"/>
        <v>Custom Homebuilders</v>
      </c>
    </row>
    <row r="172">
      <c r="A172" s="3"/>
      <c r="B172" s="3" t="s">
        <v>3234</v>
      </c>
      <c r="C172" s="3" t="s">
        <v>3237</v>
      </c>
      <c r="D172" s="3" t="str">
        <f t="shared" si="1"/>
        <v>Custom Homebuilders</v>
      </c>
    </row>
    <row r="173">
      <c r="A173" s="3"/>
      <c r="B173" s="3" t="s">
        <v>3988</v>
      </c>
      <c r="C173" s="3" t="s">
        <v>3256</v>
      </c>
      <c r="D173" s="3" t="str">
        <f t="shared" si="1"/>
        <v>Custom Homebuilders</v>
      </c>
    </row>
    <row r="174">
      <c r="A174" s="3"/>
      <c r="B174" s="3" t="s">
        <v>3347</v>
      </c>
      <c r="C174" s="3" t="s">
        <v>3350</v>
      </c>
      <c r="D174" s="3" t="str">
        <f t="shared" si="1"/>
        <v>Custom Homebuilders</v>
      </c>
    </row>
    <row r="175">
      <c r="A175" s="3"/>
      <c r="B175" s="3" t="s">
        <v>3452</v>
      </c>
      <c r="C175" s="3" t="s">
        <v>3455</v>
      </c>
      <c r="D175" s="3" t="str">
        <f t="shared" si="1"/>
        <v>Custom Homebuilders</v>
      </c>
    </row>
    <row r="176">
      <c r="A176" s="3"/>
      <c r="B176" s="3" t="s">
        <v>3477</v>
      </c>
      <c r="C176" s="3" t="s">
        <v>3480</v>
      </c>
      <c r="D176" s="3" t="str">
        <f t="shared" si="1"/>
        <v>Custom Homebuilders</v>
      </c>
    </row>
    <row r="177">
      <c r="A177" s="3"/>
      <c r="B177" s="3" t="s">
        <v>3546</v>
      </c>
      <c r="C177" s="3" t="s">
        <v>3549</v>
      </c>
      <c r="D177" s="3" t="str">
        <f t="shared" si="1"/>
        <v>Custom Homebuilders</v>
      </c>
    </row>
    <row r="178">
      <c r="A178" s="3"/>
      <c r="B178" s="3" t="s">
        <v>3571</v>
      </c>
      <c r="C178" s="3" t="s">
        <v>3574</v>
      </c>
      <c r="D178" s="3" t="str">
        <f t="shared" si="1"/>
        <v>Custom Homebuilders</v>
      </c>
    </row>
    <row r="179">
      <c r="A179" s="3"/>
      <c r="B179" s="3" t="s">
        <v>3581</v>
      </c>
      <c r="C179" s="3" t="s">
        <v>3584</v>
      </c>
      <c r="D179" s="3" t="str">
        <f t="shared" si="1"/>
        <v>Custom Homebuilders</v>
      </c>
    </row>
    <row r="180">
      <c r="A180" s="3"/>
      <c r="B180" s="3" t="s">
        <v>3989</v>
      </c>
      <c r="C180" s="3" t="s">
        <v>3603</v>
      </c>
      <c r="D180" s="3" t="str">
        <f t="shared" si="1"/>
        <v>Custom Homebuilders</v>
      </c>
    </row>
    <row r="181">
      <c r="A181" s="3"/>
      <c r="B181" s="3" t="s">
        <v>3685</v>
      </c>
      <c r="C181" s="3" t="s">
        <v>3688</v>
      </c>
      <c r="D181" s="3" t="str">
        <f t="shared" si="1"/>
        <v>Custom Homebuilders</v>
      </c>
    </row>
    <row r="182">
      <c r="A182" s="3"/>
      <c r="B182" s="3" t="s">
        <v>3725</v>
      </c>
      <c r="C182" s="3" t="s">
        <v>3728</v>
      </c>
      <c r="D182" s="3" t="str">
        <f t="shared" si="1"/>
        <v>Custom Homebuilders</v>
      </c>
    </row>
    <row r="183">
      <c r="A183" s="3"/>
      <c r="B183" s="3" t="s">
        <v>3730</v>
      </c>
      <c r="C183" s="3" t="s">
        <v>3733</v>
      </c>
      <c r="D183" s="3" t="str">
        <f t="shared" si="1"/>
        <v>Custom Homebuilders</v>
      </c>
    </row>
    <row r="184">
      <c r="A184" s="3"/>
      <c r="B184" s="3" t="s">
        <v>3839</v>
      </c>
      <c r="C184" s="3" t="s">
        <v>3842</v>
      </c>
      <c r="D184" s="3" t="str">
        <f t="shared" si="1"/>
        <v>Custom Homebuilders</v>
      </c>
    </row>
    <row r="185">
      <c r="A185" s="3"/>
      <c r="B185" s="3" t="s">
        <v>3859</v>
      </c>
      <c r="C185" s="3" t="s">
        <v>3862</v>
      </c>
      <c r="D185" s="3" t="str">
        <f t="shared" si="1"/>
        <v>Custom Homebuilders</v>
      </c>
    </row>
    <row r="186">
      <c r="A186" s="3"/>
      <c r="B186" s="3" t="s">
        <v>3869</v>
      </c>
      <c r="C186" s="3" t="s">
        <v>3872</v>
      </c>
      <c r="D186" s="3" t="str">
        <f t="shared" si="1"/>
        <v>Custom Homebuilders</v>
      </c>
    </row>
    <row r="187">
      <c r="A187" s="3"/>
      <c r="B187" s="3" t="s">
        <v>3894</v>
      </c>
      <c r="C187" s="3" t="s">
        <v>3897</v>
      </c>
      <c r="D187" s="3" t="str">
        <f t="shared" si="1"/>
        <v>Custom Homebuilders</v>
      </c>
    </row>
    <row r="188">
      <c r="A188" s="3" t="s">
        <v>3990</v>
      </c>
      <c r="B188" s="3" t="s">
        <v>2225</v>
      </c>
      <c r="C188" s="3" t="s">
        <v>2228</v>
      </c>
      <c r="D188" s="3" t="str">
        <f t="shared" si="1"/>
        <v>Deck Coatings</v>
      </c>
    </row>
    <row r="189">
      <c r="A189" s="3"/>
      <c r="B189" s="3" t="s">
        <v>2775</v>
      </c>
      <c r="C189" s="3" t="s">
        <v>2778</v>
      </c>
      <c r="D189" s="3" t="str">
        <f t="shared" si="1"/>
        <v>Deck Coatings</v>
      </c>
    </row>
    <row r="190">
      <c r="A190" s="3"/>
      <c r="B190" s="3" t="s">
        <v>2949</v>
      </c>
      <c r="C190" s="3" t="s">
        <v>2952</v>
      </c>
      <c r="D190" s="3" t="str">
        <f t="shared" si="1"/>
        <v>Deck Coatings</v>
      </c>
    </row>
    <row r="191">
      <c r="A191" s="3" t="s">
        <v>3991</v>
      </c>
      <c r="B191" s="3" t="s">
        <v>3992</v>
      </c>
      <c r="C191" s="3" t="s">
        <v>3993</v>
      </c>
      <c r="D191" s="3" t="str">
        <f t="shared" si="1"/>
        <v>Electrical Contractors</v>
      </c>
    </row>
    <row r="192">
      <c r="A192" s="3"/>
      <c r="B192" s="3" t="s">
        <v>203</v>
      </c>
      <c r="C192" s="3" t="s">
        <v>206</v>
      </c>
      <c r="D192" s="3" t="str">
        <f t="shared" si="1"/>
        <v>Electrical Contractors</v>
      </c>
    </row>
    <row r="193">
      <c r="A193" s="3"/>
      <c r="B193" s="3" t="s">
        <v>664</v>
      </c>
      <c r="C193" s="3" t="s">
        <v>667</v>
      </c>
      <c r="D193" s="3" t="str">
        <f t="shared" si="1"/>
        <v>Electrical Contractors</v>
      </c>
    </row>
    <row r="194">
      <c r="A194" s="3"/>
      <c r="B194" s="3" t="s">
        <v>892</v>
      </c>
      <c r="C194" s="3" t="s">
        <v>895</v>
      </c>
      <c r="D194" s="3" t="str">
        <f t="shared" si="1"/>
        <v>Electrical Contractors</v>
      </c>
    </row>
    <row r="195">
      <c r="A195" s="3"/>
      <c r="B195" s="3" t="s">
        <v>942</v>
      </c>
      <c r="C195" s="3" t="s">
        <v>945</v>
      </c>
      <c r="D195" s="3" t="str">
        <f t="shared" si="1"/>
        <v>Electrical Contractors</v>
      </c>
    </row>
    <row r="196">
      <c r="A196" s="3"/>
      <c r="B196" s="3" t="s">
        <v>1057</v>
      </c>
      <c r="C196" s="3" t="s">
        <v>1060</v>
      </c>
      <c r="D196" s="3" t="str">
        <f t="shared" si="1"/>
        <v>Electrical Contractors</v>
      </c>
    </row>
    <row r="197">
      <c r="A197" s="3"/>
      <c r="B197" s="3" t="s">
        <v>1568</v>
      </c>
      <c r="C197" s="3" t="s">
        <v>1571</v>
      </c>
      <c r="D197" s="3" t="str">
        <f t="shared" si="1"/>
        <v>Electrical Contractors</v>
      </c>
    </row>
    <row r="198">
      <c r="A198" s="3"/>
      <c r="B198" s="3" t="s">
        <v>1623</v>
      </c>
      <c r="C198" s="3" t="s">
        <v>1626</v>
      </c>
      <c r="D198" s="3" t="str">
        <f t="shared" si="1"/>
        <v>Electrical Contractors</v>
      </c>
    </row>
    <row r="199">
      <c r="A199" s="3"/>
      <c r="B199" s="3" t="s">
        <v>1658</v>
      </c>
      <c r="C199" s="3" t="s">
        <v>1661</v>
      </c>
      <c r="D199" s="3" t="str">
        <f t="shared" si="1"/>
        <v>Electrical Contractors</v>
      </c>
    </row>
    <row r="200">
      <c r="A200" s="3"/>
      <c r="B200" s="3" t="s">
        <v>1757</v>
      </c>
      <c r="C200" s="3" t="s">
        <v>1760</v>
      </c>
      <c r="D200" s="3" t="str">
        <f t="shared" si="1"/>
        <v>Electrical Contractors</v>
      </c>
    </row>
    <row r="201">
      <c r="A201" s="3"/>
      <c r="B201" s="3" t="s">
        <v>2468</v>
      </c>
      <c r="C201" s="3" t="s">
        <v>2471</v>
      </c>
      <c r="D201" s="3" t="str">
        <f t="shared" si="1"/>
        <v>Electrical Contractors</v>
      </c>
    </row>
    <row r="202">
      <c r="A202" s="3"/>
      <c r="B202" s="3" t="s">
        <v>2508</v>
      </c>
      <c r="C202" s="3" t="s">
        <v>2511</v>
      </c>
      <c r="D202" s="3" t="str">
        <f t="shared" si="1"/>
        <v>Electrical Contractors</v>
      </c>
    </row>
    <row r="203">
      <c r="A203" s="3"/>
      <c r="B203" s="3" t="s">
        <v>2622</v>
      </c>
      <c r="C203" s="3" t="s">
        <v>2625</v>
      </c>
      <c r="D203" s="3" t="str">
        <f t="shared" si="1"/>
        <v>Electrical Contractors</v>
      </c>
    </row>
    <row r="204">
      <c r="A204" s="3"/>
      <c r="B204" s="3" t="s">
        <v>2710</v>
      </c>
      <c r="C204" s="3" t="s">
        <v>2713</v>
      </c>
      <c r="D204" s="3" t="str">
        <f t="shared" si="1"/>
        <v>Electrical Contractors</v>
      </c>
    </row>
    <row r="205">
      <c r="A205" s="3"/>
      <c r="B205" s="3" t="s">
        <v>2870</v>
      </c>
      <c r="C205" s="3" t="s">
        <v>2873</v>
      </c>
      <c r="D205" s="3" t="str">
        <f t="shared" si="1"/>
        <v>Electrical Contractors</v>
      </c>
    </row>
    <row r="206">
      <c r="A206" s="3"/>
      <c r="B206" s="3" t="s">
        <v>3079</v>
      </c>
      <c r="C206" s="3" t="s">
        <v>3082</v>
      </c>
      <c r="D206" s="3" t="str">
        <f t="shared" si="1"/>
        <v>Electrical Contractors</v>
      </c>
    </row>
    <row r="207">
      <c r="A207" s="3"/>
      <c r="B207" s="3" t="s">
        <v>3332</v>
      </c>
      <c r="C207" s="3" t="s">
        <v>3335</v>
      </c>
      <c r="D207" s="3" t="str">
        <f t="shared" si="1"/>
        <v>Electrical Contractors</v>
      </c>
    </row>
    <row r="208">
      <c r="A208" s="3"/>
      <c r="B208" s="3" t="s">
        <v>3392</v>
      </c>
      <c r="C208" s="3" t="s">
        <v>3994</v>
      </c>
      <c r="D208" s="3" t="str">
        <f t="shared" si="1"/>
        <v>Electrical Contractors</v>
      </c>
    </row>
    <row r="209">
      <c r="A209" s="3"/>
      <c r="B209" s="3" t="s">
        <v>3551</v>
      </c>
      <c r="C209" s="3" t="s">
        <v>3554</v>
      </c>
      <c r="D209" s="3" t="str">
        <f t="shared" si="1"/>
        <v>Electrical Contractors</v>
      </c>
    </row>
    <row r="210">
      <c r="A210" s="3"/>
      <c r="B210" s="3" t="s">
        <v>3605</v>
      </c>
      <c r="C210" s="3" t="s">
        <v>3608</v>
      </c>
      <c r="D210" s="3" t="str">
        <f t="shared" si="1"/>
        <v>Electrical Contractors</v>
      </c>
    </row>
    <row r="211">
      <c r="A211" s="3"/>
      <c r="B211" s="3" t="s">
        <v>3849</v>
      </c>
      <c r="C211" s="3" t="s">
        <v>3852</v>
      </c>
      <c r="D211" s="3" t="str">
        <f t="shared" si="1"/>
        <v>Electrical Contractors</v>
      </c>
    </row>
    <row r="212">
      <c r="A212" s="3"/>
      <c r="B212" s="3" t="s">
        <v>3889</v>
      </c>
      <c r="C212" s="3" t="s">
        <v>3892</v>
      </c>
      <c r="D212" s="3" t="str">
        <f t="shared" si="1"/>
        <v>Electrical Contractors</v>
      </c>
    </row>
    <row r="213">
      <c r="A213" s="3" t="s">
        <v>3995</v>
      </c>
      <c r="B213" s="3" t="s">
        <v>16</v>
      </c>
      <c r="C213" s="3" t="s">
        <v>19</v>
      </c>
      <c r="D213" s="3" t="str">
        <f t="shared" si="1"/>
        <v>Excavating Contractors</v>
      </c>
    </row>
    <row r="214">
      <c r="A214" s="3"/>
      <c r="B214" s="3" t="s">
        <v>526</v>
      </c>
      <c r="C214" s="3" t="s">
        <v>529</v>
      </c>
      <c r="D214" s="3" t="str">
        <f t="shared" si="1"/>
        <v>Excavating Contractors</v>
      </c>
    </row>
    <row r="215">
      <c r="A215" s="3"/>
      <c r="B215" s="3" t="s">
        <v>887</v>
      </c>
      <c r="C215" s="3" t="s">
        <v>890</v>
      </c>
      <c r="D215" s="3" t="str">
        <f t="shared" si="1"/>
        <v>Excavating Contractors</v>
      </c>
    </row>
    <row r="216">
      <c r="A216" s="3"/>
      <c r="B216" s="3" t="s">
        <v>1152</v>
      </c>
      <c r="C216" s="3" t="s">
        <v>1155</v>
      </c>
      <c r="D216" s="3" t="str">
        <f t="shared" si="1"/>
        <v>Excavating Contractors</v>
      </c>
    </row>
    <row r="217">
      <c r="A217" s="3"/>
      <c r="B217" s="3" t="s">
        <v>1177</v>
      </c>
      <c r="C217" s="3" t="s">
        <v>1180</v>
      </c>
      <c r="D217" s="3" t="str">
        <f t="shared" si="1"/>
        <v>Excavating Contractors</v>
      </c>
    </row>
    <row r="218">
      <c r="A218" s="3"/>
      <c r="B218" s="3" t="s">
        <v>3996</v>
      </c>
      <c r="C218" s="3" t="s">
        <v>1601</v>
      </c>
      <c r="D218" s="3" t="str">
        <f t="shared" si="1"/>
        <v>Excavating Contractors</v>
      </c>
    </row>
    <row r="219">
      <c r="A219" s="3"/>
      <c r="B219" s="3" t="s">
        <v>1877</v>
      </c>
      <c r="C219" s="3" t="s">
        <v>1880</v>
      </c>
      <c r="D219" s="3" t="str">
        <f t="shared" si="1"/>
        <v>Excavating Contractors</v>
      </c>
    </row>
    <row r="220">
      <c r="A220" s="3"/>
      <c r="B220" s="3" t="s">
        <v>1916</v>
      </c>
      <c r="C220" s="3" t="s">
        <v>1919</v>
      </c>
      <c r="D220" s="3" t="str">
        <f t="shared" si="1"/>
        <v>Excavating Contractors</v>
      </c>
    </row>
    <row r="221">
      <c r="A221" s="3"/>
      <c r="B221" s="3" t="s">
        <v>3997</v>
      </c>
      <c r="C221" s="3" t="s">
        <v>2293</v>
      </c>
      <c r="D221" s="3" t="str">
        <f t="shared" si="1"/>
        <v>Excavating Contractors</v>
      </c>
    </row>
    <row r="222">
      <c r="A222" s="3"/>
      <c r="B222" s="3" t="s">
        <v>2665</v>
      </c>
      <c r="C222" s="3" t="s">
        <v>2668</v>
      </c>
      <c r="D222" s="3" t="str">
        <f t="shared" si="1"/>
        <v>Excavating Contractors</v>
      </c>
    </row>
    <row r="223">
      <c r="A223" s="3"/>
      <c r="B223" s="3" t="s">
        <v>2690</v>
      </c>
      <c r="C223" s="3" t="s">
        <v>2693</v>
      </c>
      <c r="D223" s="3" t="str">
        <f t="shared" si="1"/>
        <v>Excavating Contractors</v>
      </c>
    </row>
    <row r="224">
      <c r="A224" s="3"/>
      <c r="B224" s="3" t="s">
        <v>2805</v>
      </c>
      <c r="C224" s="3" t="s">
        <v>2808</v>
      </c>
      <c r="D224" s="3" t="str">
        <f t="shared" si="1"/>
        <v>Excavating Contractors</v>
      </c>
    </row>
    <row r="225">
      <c r="A225" s="3"/>
      <c r="B225" s="3" t="s">
        <v>2893</v>
      </c>
      <c r="C225" s="3" t="s">
        <v>2099</v>
      </c>
      <c r="D225" s="3" t="str">
        <f t="shared" si="1"/>
        <v>Excavating Contractors</v>
      </c>
    </row>
    <row r="226">
      <c r="A226" s="3"/>
      <c r="B226" s="3" t="s">
        <v>2944</v>
      </c>
      <c r="C226" s="3" t="s">
        <v>2947</v>
      </c>
      <c r="D226" s="3" t="str">
        <f t="shared" si="1"/>
        <v>Excavating Contractors</v>
      </c>
    </row>
    <row r="227">
      <c r="A227" s="3"/>
      <c r="B227" s="3" t="s">
        <v>3998</v>
      </c>
      <c r="C227" s="3" t="s">
        <v>3718</v>
      </c>
      <c r="D227" s="3" t="str">
        <f t="shared" si="1"/>
        <v>Excavating Contractors</v>
      </c>
    </row>
    <row r="228">
      <c r="A228" s="3"/>
      <c r="B228" s="3" t="s">
        <v>3844</v>
      </c>
      <c r="C228" s="3" t="s">
        <v>3847</v>
      </c>
      <c r="D228" s="3" t="str">
        <f t="shared" si="1"/>
        <v>Excavating Contractors</v>
      </c>
    </row>
    <row r="229">
      <c r="A229" s="3" t="s">
        <v>3999</v>
      </c>
      <c r="B229" s="3" t="s">
        <v>273</v>
      </c>
      <c r="C229" s="3" t="s">
        <v>4000</v>
      </c>
      <c r="D229" s="3" t="str">
        <f t="shared" si="1"/>
        <v>Flooring</v>
      </c>
    </row>
    <row r="230">
      <c r="A230" s="3"/>
      <c r="B230" s="3" t="s">
        <v>550</v>
      </c>
      <c r="C230" s="3" t="s">
        <v>553</v>
      </c>
      <c r="D230" s="3" t="str">
        <f t="shared" si="1"/>
        <v>Flooring</v>
      </c>
    </row>
    <row r="231">
      <c r="A231" s="3"/>
      <c r="B231" s="3" t="s">
        <v>719</v>
      </c>
      <c r="C231" s="3" t="s">
        <v>722</v>
      </c>
      <c r="D231" s="3" t="str">
        <f t="shared" si="1"/>
        <v>Flooring</v>
      </c>
    </row>
    <row r="232">
      <c r="A232" s="3"/>
      <c r="B232" s="3" t="s">
        <v>738</v>
      </c>
      <c r="C232" s="3" t="s">
        <v>741</v>
      </c>
      <c r="D232" s="3" t="str">
        <f t="shared" si="1"/>
        <v>Flooring</v>
      </c>
    </row>
    <row r="233">
      <c r="A233" s="3"/>
      <c r="B233" s="3" t="s">
        <v>1117</v>
      </c>
      <c r="C233" s="3" t="s">
        <v>1120</v>
      </c>
      <c r="D233" s="3" t="str">
        <f t="shared" si="1"/>
        <v>Flooring</v>
      </c>
    </row>
    <row r="234">
      <c r="A234" s="3"/>
      <c r="B234" s="3" t="s">
        <v>4001</v>
      </c>
      <c r="C234" s="3" t="s">
        <v>1170</v>
      </c>
      <c r="D234" s="3" t="str">
        <f t="shared" si="1"/>
        <v>Flooring</v>
      </c>
    </row>
    <row r="235">
      <c r="A235" s="3"/>
      <c r="B235" s="3" t="s">
        <v>1282</v>
      </c>
      <c r="C235" s="3" t="s">
        <v>1285</v>
      </c>
      <c r="D235" s="3" t="str">
        <f t="shared" si="1"/>
        <v>Flooring</v>
      </c>
    </row>
    <row r="236">
      <c r="A236" s="3"/>
      <c r="B236" s="3" t="s">
        <v>1287</v>
      </c>
      <c r="C236" s="3" t="s">
        <v>1290</v>
      </c>
      <c r="D236" s="3" t="str">
        <f t="shared" si="1"/>
        <v>Flooring</v>
      </c>
    </row>
    <row r="237">
      <c r="A237" s="3"/>
      <c r="B237" s="3" t="s">
        <v>1618</v>
      </c>
      <c r="C237" s="3" t="s">
        <v>1621</v>
      </c>
      <c r="D237" s="3" t="str">
        <f t="shared" si="1"/>
        <v>Flooring</v>
      </c>
    </row>
    <row r="238">
      <c r="A238" s="3"/>
      <c r="B238" s="3" t="s">
        <v>1663</v>
      </c>
      <c r="C238" s="3" t="s">
        <v>1666</v>
      </c>
      <c r="D238" s="3" t="str">
        <f t="shared" si="1"/>
        <v>Flooring</v>
      </c>
    </row>
    <row r="239">
      <c r="A239" s="3"/>
      <c r="B239" s="3" t="s">
        <v>1897</v>
      </c>
      <c r="C239" s="3" t="s">
        <v>1900</v>
      </c>
      <c r="D239" s="3" t="str">
        <f t="shared" si="1"/>
        <v>Flooring</v>
      </c>
    </row>
    <row r="240">
      <c r="A240" s="3"/>
      <c r="B240" s="3" t="s">
        <v>2036</v>
      </c>
      <c r="C240" s="3" t="s">
        <v>2039</v>
      </c>
      <c r="D240" s="3" t="str">
        <f t="shared" si="1"/>
        <v>Flooring</v>
      </c>
    </row>
    <row r="241">
      <c r="A241" s="3"/>
      <c r="B241" s="3" t="s">
        <v>2355</v>
      </c>
      <c r="C241" s="3" t="s">
        <v>2358</v>
      </c>
      <c r="D241" s="3" t="str">
        <f t="shared" si="1"/>
        <v>Flooring</v>
      </c>
    </row>
    <row r="242">
      <c r="A242" s="3"/>
      <c r="B242" s="3" t="s">
        <v>4002</v>
      </c>
      <c r="C242" s="3" t="s">
        <v>2451</v>
      </c>
      <c r="D242" s="3" t="str">
        <f t="shared" si="1"/>
        <v>Flooring</v>
      </c>
    </row>
    <row r="243">
      <c r="A243" s="3"/>
      <c r="B243" s="3" t="s">
        <v>3660</v>
      </c>
      <c r="C243" s="3" t="s">
        <v>3663</v>
      </c>
      <c r="D243" s="3" t="str">
        <f t="shared" si="1"/>
        <v>Flooring</v>
      </c>
    </row>
    <row r="244">
      <c r="A244" s="3"/>
      <c r="B244" s="3" t="s">
        <v>3829</v>
      </c>
      <c r="C244" s="3" t="s">
        <v>3832</v>
      </c>
      <c r="D244" s="3" t="str">
        <f t="shared" si="1"/>
        <v>Flooring</v>
      </c>
    </row>
    <row r="245">
      <c r="A245" s="3" t="s">
        <v>4003</v>
      </c>
      <c r="B245" s="3" t="s">
        <v>21</v>
      </c>
      <c r="C245" s="3" t="s">
        <v>24</v>
      </c>
      <c r="D245" s="3" t="str">
        <f t="shared" si="1"/>
        <v>Garage &amp; Overhead Doors</v>
      </c>
    </row>
    <row r="246">
      <c r="A246" s="3"/>
      <c r="B246" s="3" t="s">
        <v>4004</v>
      </c>
      <c r="C246" s="3" t="s">
        <v>121</v>
      </c>
      <c r="D246" s="3" t="str">
        <f t="shared" si="1"/>
        <v>Garage &amp; Overhead Doors</v>
      </c>
    </row>
    <row r="247">
      <c r="A247" s="3"/>
      <c r="B247" s="3" t="s">
        <v>1267</v>
      </c>
      <c r="C247" s="3" t="s">
        <v>1270</v>
      </c>
      <c r="D247" s="3" t="str">
        <f t="shared" si="1"/>
        <v>Garage &amp; Overhead Doors</v>
      </c>
    </row>
    <row r="248">
      <c r="A248" s="3"/>
      <c r="B248" s="3" t="s">
        <v>2121</v>
      </c>
      <c r="C248" s="3" t="s">
        <v>2124</v>
      </c>
      <c r="D248" s="3" t="str">
        <f t="shared" si="1"/>
        <v>Garage &amp; Overhead Doors</v>
      </c>
    </row>
    <row r="249">
      <c r="A249" s="3"/>
      <c r="B249" s="3" t="s">
        <v>2612</v>
      </c>
      <c r="C249" s="3" t="s">
        <v>2615</v>
      </c>
      <c r="D249" s="3" t="str">
        <f t="shared" si="1"/>
        <v>Garage &amp; Overhead Doors</v>
      </c>
    </row>
    <row r="250">
      <c r="A250" s="3"/>
      <c r="B250" s="3" t="s">
        <v>3645</v>
      </c>
      <c r="C250" s="3" t="s">
        <v>3648</v>
      </c>
      <c r="D250" s="3" t="str">
        <f t="shared" si="1"/>
        <v>Garage &amp; Overhead Doors</v>
      </c>
    </row>
    <row r="251">
      <c r="A251" s="3"/>
      <c r="B251" s="3" t="s">
        <v>3750</v>
      </c>
      <c r="C251" s="3" t="s">
        <v>3753</v>
      </c>
      <c r="D251" s="3" t="str">
        <f t="shared" si="1"/>
        <v>Garage &amp; Overhead Doors</v>
      </c>
    </row>
    <row r="252">
      <c r="A252" s="3"/>
      <c r="B252" s="3" t="s">
        <v>3854</v>
      </c>
      <c r="C252" s="3" t="s">
        <v>3857</v>
      </c>
      <c r="D252" s="3" t="str">
        <f t="shared" si="1"/>
        <v>Garage &amp; Overhead Doors</v>
      </c>
    </row>
    <row r="253">
      <c r="A253" s="3" t="s">
        <v>4005</v>
      </c>
      <c r="B253" s="3" t="s">
        <v>952</v>
      </c>
      <c r="C253" s="3" t="s">
        <v>955</v>
      </c>
      <c r="D253" s="3" t="str">
        <f t="shared" si="1"/>
        <v>Heating/AC</v>
      </c>
    </row>
    <row r="254">
      <c r="A254" s="3"/>
      <c r="B254" s="3" t="s">
        <v>4006</v>
      </c>
      <c r="C254" s="3" t="s">
        <v>92</v>
      </c>
      <c r="D254" s="3" t="str">
        <f t="shared" si="1"/>
        <v>Heating/AC</v>
      </c>
    </row>
    <row r="255">
      <c r="A255" s="3"/>
      <c r="B255" s="3" t="s">
        <v>113</v>
      </c>
      <c r="C255" s="3" t="s">
        <v>116</v>
      </c>
      <c r="D255" s="3" t="str">
        <f t="shared" si="1"/>
        <v>Heating/AC</v>
      </c>
    </row>
    <row r="256">
      <c r="A256" s="3"/>
      <c r="B256" s="3" t="s">
        <v>343</v>
      </c>
      <c r="C256" s="3" t="s">
        <v>346</v>
      </c>
      <c r="D256" s="3" t="str">
        <f t="shared" si="1"/>
        <v>Heating/AC</v>
      </c>
    </row>
    <row r="257">
      <c r="A257" s="3"/>
      <c r="B257" s="3" t="s">
        <v>654</v>
      </c>
      <c r="C257" s="3" t="s">
        <v>657</v>
      </c>
      <c r="D257" s="3" t="str">
        <f t="shared" si="1"/>
        <v>Heating/AC</v>
      </c>
    </row>
    <row r="258">
      <c r="A258" s="3"/>
      <c r="B258" s="3" t="s">
        <v>793</v>
      </c>
      <c r="C258" s="3" t="s">
        <v>796</v>
      </c>
      <c r="D258" s="3" t="str">
        <f t="shared" si="1"/>
        <v>Heating/AC</v>
      </c>
    </row>
    <row r="259">
      <c r="A259" s="3"/>
      <c r="B259" s="3" t="s">
        <v>922</v>
      </c>
      <c r="C259" s="3" t="s">
        <v>925</v>
      </c>
      <c r="D259" s="3" t="str">
        <f t="shared" si="1"/>
        <v>Heating/AC</v>
      </c>
    </row>
    <row r="260">
      <c r="A260" s="3"/>
      <c r="B260" s="3" t="s">
        <v>4007</v>
      </c>
      <c r="C260" s="3" t="s">
        <v>1195</v>
      </c>
      <c r="D260" s="3" t="str">
        <f t="shared" si="1"/>
        <v>Heating/AC</v>
      </c>
    </row>
    <row r="261">
      <c r="A261" s="3"/>
      <c r="B261" s="3" t="s">
        <v>4008</v>
      </c>
      <c r="C261" s="3" t="s">
        <v>1205</v>
      </c>
      <c r="D261" s="3" t="str">
        <f t="shared" si="1"/>
        <v>Heating/AC</v>
      </c>
    </row>
    <row r="262">
      <c r="A262" s="3"/>
      <c r="B262" s="3" t="s">
        <v>4009</v>
      </c>
      <c r="C262" s="3" t="s">
        <v>4010</v>
      </c>
      <c r="D262" s="3" t="str">
        <f t="shared" si="1"/>
        <v>Heating/AC</v>
      </c>
    </row>
    <row r="263">
      <c r="A263" s="3"/>
      <c r="B263" s="3" t="s">
        <v>4011</v>
      </c>
      <c r="C263" s="3" t="s">
        <v>1860</v>
      </c>
      <c r="D263" s="3" t="str">
        <f t="shared" si="1"/>
        <v>Heating/AC</v>
      </c>
    </row>
    <row r="264">
      <c r="A264" s="3"/>
      <c r="B264" s="3" t="s">
        <v>2345</v>
      </c>
      <c r="C264" s="3" t="s">
        <v>2348</v>
      </c>
      <c r="D264" s="3" t="str">
        <f t="shared" si="1"/>
        <v>Heating/AC</v>
      </c>
    </row>
    <row r="265">
      <c r="A265" s="3"/>
      <c r="B265" s="3" t="s">
        <v>2685</v>
      </c>
      <c r="C265" s="3" t="s">
        <v>2688</v>
      </c>
      <c r="D265" s="3" t="str">
        <f t="shared" si="1"/>
        <v>Heating/AC</v>
      </c>
    </row>
    <row r="266">
      <c r="A266" s="3"/>
      <c r="B266" s="3" t="s">
        <v>2795</v>
      </c>
      <c r="C266" s="3" t="s">
        <v>2798</v>
      </c>
      <c r="D266" s="3" t="str">
        <f t="shared" si="1"/>
        <v>Heating/AC</v>
      </c>
    </row>
    <row r="267">
      <c r="A267" s="3" t="s">
        <v>4012</v>
      </c>
      <c r="B267" s="3" t="s">
        <v>98</v>
      </c>
      <c r="C267" s="3" t="s">
        <v>101</v>
      </c>
      <c r="D267" s="3" t="str">
        <f t="shared" si="1"/>
        <v>Interior Design</v>
      </c>
    </row>
    <row r="268">
      <c r="A268" s="3"/>
      <c r="B268" s="3" t="s">
        <v>103</v>
      </c>
      <c r="C268" s="3" t="s">
        <v>106</v>
      </c>
      <c r="D268" s="3" t="str">
        <f t="shared" si="1"/>
        <v>Interior Design</v>
      </c>
    </row>
    <row r="269">
      <c r="A269" s="3"/>
      <c r="B269" s="3" t="s">
        <v>108</v>
      </c>
      <c r="C269" s="3" t="s">
        <v>111</v>
      </c>
      <c r="D269" s="3" t="str">
        <f t="shared" si="1"/>
        <v>Interior Design</v>
      </c>
    </row>
    <row r="270">
      <c r="A270" s="3"/>
      <c r="B270" s="3" t="s">
        <v>143</v>
      </c>
      <c r="C270" s="3" t="s">
        <v>146</v>
      </c>
      <c r="D270" s="3" t="str">
        <f t="shared" si="1"/>
        <v>Interior Design</v>
      </c>
    </row>
    <row r="271">
      <c r="A271" s="3"/>
      <c r="B271" s="3" t="s">
        <v>448</v>
      </c>
      <c r="C271" s="3" t="s">
        <v>451</v>
      </c>
      <c r="D271" s="3" t="str">
        <f t="shared" si="1"/>
        <v>Interior Design</v>
      </c>
    </row>
    <row r="272">
      <c r="A272" s="3"/>
      <c r="B272" s="3" t="s">
        <v>565</v>
      </c>
      <c r="C272" s="3" t="s">
        <v>568</v>
      </c>
      <c r="D272" s="3" t="str">
        <f t="shared" si="1"/>
        <v>Interior Design</v>
      </c>
    </row>
    <row r="273">
      <c r="A273" s="3"/>
      <c r="B273" s="3" t="s">
        <v>689</v>
      </c>
      <c r="C273" s="3" t="s">
        <v>692</v>
      </c>
      <c r="D273" s="3" t="str">
        <f t="shared" si="1"/>
        <v>Interior Design</v>
      </c>
    </row>
    <row r="274">
      <c r="A274" s="3"/>
      <c r="B274" s="3" t="s">
        <v>753</v>
      </c>
      <c r="C274" s="3" t="s">
        <v>756</v>
      </c>
      <c r="D274" s="3" t="str">
        <f t="shared" si="1"/>
        <v>Interior Design</v>
      </c>
    </row>
    <row r="275">
      <c r="A275" s="3"/>
      <c r="B275" s="3" t="s">
        <v>4013</v>
      </c>
      <c r="C275" s="3" t="s">
        <v>4014</v>
      </c>
      <c r="D275" s="3" t="str">
        <f t="shared" si="1"/>
        <v>Interior Design</v>
      </c>
    </row>
    <row r="276">
      <c r="A276" s="3"/>
      <c r="B276" s="3" t="s">
        <v>4015</v>
      </c>
      <c r="C276" s="3" t="s">
        <v>4016</v>
      </c>
      <c r="D276" s="3" t="str">
        <f t="shared" si="1"/>
        <v>Interior Design</v>
      </c>
    </row>
    <row r="277">
      <c r="A277" s="3"/>
      <c r="B277" s="3" t="s">
        <v>783</v>
      </c>
      <c r="C277" s="3" t="s">
        <v>786</v>
      </c>
      <c r="D277" s="3" t="str">
        <f t="shared" si="1"/>
        <v>Interior Design</v>
      </c>
    </row>
    <row r="278">
      <c r="A278" s="3"/>
      <c r="B278" s="3" t="s">
        <v>897</v>
      </c>
      <c r="C278" s="3" t="s">
        <v>900</v>
      </c>
      <c r="D278" s="3" t="str">
        <f t="shared" si="1"/>
        <v>Interior Design</v>
      </c>
    </row>
    <row r="279">
      <c r="A279" s="3"/>
      <c r="B279" s="3" t="s">
        <v>932</v>
      </c>
      <c r="C279" s="3" t="s">
        <v>935</v>
      </c>
      <c r="D279" s="3" t="str">
        <f t="shared" si="1"/>
        <v>Interior Design</v>
      </c>
    </row>
    <row r="280">
      <c r="A280" s="3"/>
      <c r="B280" s="3" t="s">
        <v>4017</v>
      </c>
      <c r="C280" s="3" t="s">
        <v>4018</v>
      </c>
      <c r="D280" s="3" t="str">
        <f t="shared" si="1"/>
        <v>Interior Design</v>
      </c>
    </row>
    <row r="281">
      <c r="A281" s="3"/>
      <c r="B281" s="3" t="s">
        <v>4019</v>
      </c>
      <c r="C281" s="3" t="s">
        <v>1070</v>
      </c>
      <c r="D281" s="3" t="str">
        <f t="shared" si="1"/>
        <v>Interior Design</v>
      </c>
    </row>
    <row r="282">
      <c r="A282" s="3"/>
      <c r="B282" s="3" t="s">
        <v>1207</v>
      </c>
      <c r="C282" s="3" t="s">
        <v>1210</v>
      </c>
      <c r="D282" s="3" t="str">
        <f t="shared" si="1"/>
        <v>Interior Design</v>
      </c>
    </row>
    <row r="283">
      <c r="A283" s="3"/>
      <c r="B283" s="3" t="s">
        <v>1454</v>
      </c>
      <c r="C283" s="3" t="s">
        <v>1457</v>
      </c>
      <c r="D283" s="3" t="str">
        <f t="shared" si="1"/>
        <v>Interior Design</v>
      </c>
    </row>
    <row r="284">
      <c r="A284" s="3"/>
      <c r="B284" s="3" t="s">
        <v>1469</v>
      </c>
      <c r="C284" s="3" t="s">
        <v>1471</v>
      </c>
      <c r="D284" s="3" t="str">
        <f t="shared" si="1"/>
        <v>Interior Design</v>
      </c>
    </row>
    <row r="285">
      <c r="A285" s="3"/>
      <c r="B285" s="3" t="s">
        <v>1628</v>
      </c>
      <c r="C285" s="3" t="s">
        <v>1631</v>
      </c>
      <c r="D285" s="3" t="str">
        <f t="shared" si="1"/>
        <v>Interior Design</v>
      </c>
    </row>
    <row r="286">
      <c r="A286" s="3"/>
      <c r="B286" s="3" t="s">
        <v>1688</v>
      </c>
      <c r="C286" s="3" t="s">
        <v>1691</v>
      </c>
      <c r="D286" s="3" t="str">
        <f t="shared" si="1"/>
        <v>Interior Design</v>
      </c>
    </row>
    <row r="287">
      <c r="A287" s="3"/>
      <c r="B287" s="3" t="s">
        <v>1693</v>
      </c>
      <c r="C287" s="3" t="s">
        <v>1696</v>
      </c>
      <c r="D287" s="3" t="str">
        <f t="shared" si="1"/>
        <v>Interior Design</v>
      </c>
    </row>
    <row r="288">
      <c r="A288" s="3"/>
      <c r="B288" s="3" t="s">
        <v>1832</v>
      </c>
      <c r="C288" s="3" t="s">
        <v>1835</v>
      </c>
      <c r="D288" s="3" t="str">
        <f t="shared" si="1"/>
        <v>Interior Design</v>
      </c>
    </row>
    <row r="289">
      <c r="A289" s="3"/>
      <c r="B289" s="3" t="s">
        <v>1912</v>
      </c>
      <c r="C289" s="3" t="s">
        <v>1914</v>
      </c>
      <c r="D289" s="3" t="str">
        <f t="shared" si="1"/>
        <v>Interior Design</v>
      </c>
    </row>
    <row r="290">
      <c r="A290" s="3"/>
      <c r="B290" s="3" t="s">
        <v>2010</v>
      </c>
      <c r="C290" s="3" t="s">
        <v>2012</v>
      </c>
      <c r="D290" s="3" t="str">
        <f t="shared" si="1"/>
        <v>Interior Design</v>
      </c>
    </row>
    <row r="291">
      <c r="A291" s="3"/>
      <c r="B291" s="3" t="s">
        <v>2081</v>
      </c>
      <c r="C291" s="3" t="s">
        <v>2084</v>
      </c>
      <c r="D291" s="3" t="str">
        <f t="shared" si="1"/>
        <v>Interior Design</v>
      </c>
    </row>
    <row r="292">
      <c r="A292" s="3"/>
      <c r="B292" s="3" t="s">
        <v>2141</v>
      </c>
      <c r="C292" s="3" t="s">
        <v>2144</v>
      </c>
      <c r="D292" s="3" t="str">
        <f t="shared" si="1"/>
        <v>Interior Design</v>
      </c>
    </row>
    <row r="293">
      <c r="A293" s="3"/>
      <c r="B293" s="3" t="s">
        <v>2216</v>
      </c>
      <c r="C293" s="3" t="s">
        <v>2218</v>
      </c>
      <c r="D293" s="3" t="str">
        <f t="shared" si="1"/>
        <v>Interior Design</v>
      </c>
    </row>
    <row r="294">
      <c r="A294" s="3"/>
      <c r="B294" s="3" t="s">
        <v>2220</v>
      </c>
      <c r="C294" s="3" t="s">
        <v>2223</v>
      </c>
      <c r="D294" s="3" t="str">
        <f t="shared" si="1"/>
        <v>Interior Design</v>
      </c>
    </row>
    <row r="295">
      <c r="A295" s="3"/>
      <c r="B295" s="3" t="s">
        <v>2295</v>
      </c>
      <c r="C295" s="3" t="s">
        <v>2298</v>
      </c>
      <c r="D295" s="3" t="str">
        <f t="shared" si="1"/>
        <v>Interior Design</v>
      </c>
    </row>
    <row r="296">
      <c r="A296" s="3"/>
      <c r="B296" s="3" t="s">
        <v>2400</v>
      </c>
      <c r="C296" s="3" t="s">
        <v>2403</v>
      </c>
      <c r="D296" s="3" t="str">
        <f t="shared" si="1"/>
        <v>Interior Design</v>
      </c>
    </row>
    <row r="297">
      <c r="A297" s="3"/>
      <c r="B297" s="3" t="s">
        <v>2860</v>
      </c>
      <c r="C297" s="3" t="s">
        <v>2863</v>
      </c>
      <c r="D297" s="3" t="str">
        <f t="shared" si="1"/>
        <v>Interior Design</v>
      </c>
    </row>
    <row r="298">
      <c r="A298" s="3"/>
      <c r="B298" s="3" t="s">
        <v>3224</v>
      </c>
      <c r="C298" s="3" t="s">
        <v>3227</v>
      </c>
      <c r="D298" s="3" t="str">
        <f t="shared" si="1"/>
        <v>Interior Design</v>
      </c>
    </row>
    <row r="299">
      <c r="A299" s="3"/>
      <c r="B299" s="3" t="s">
        <v>3809</v>
      </c>
      <c r="C299" s="3" t="s">
        <v>3812</v>
      </c>
      <c r="D299" s="3" t="str">
        <f t="shared" si="1"/>
        <v>Interior Design</v>
      </c>
    </row>
    <row r="300">
      <c r="A300" s="3" t="s">
        <v>4020</v>
      </c>
      <c r="B300" s="3" t="s">
        <v>4021</v>
      </c>
      <c r="C300" s="3" t="s">
        <v>4022</v>
      </c>
      <c r="D300" s="3" t="str">
        <f t="shared" si="1"/>
        <v>Landscaping Design &amp; Services</v>
      </c>
    </row>
    <row r="301">
      <c r="A301" s="3"/>
      <c r="B301" s="3" t="s">
        <v>148</v>
      </c>
      <c r="C301" s="3" t="s">
        <v>151</v>
      </c>
      <c r="D301" s="3" t="str">
        <f t="shared" si="1"/>
        <v>Landscaping Design &amp; Services</v>
      </c>
    </row>
    <row r="302">
      <c r="A302" s="3"/>
      <c r="B302" s="3" t="s">
        <v>368</v>
      </c>
      <c r="C302" s="3" t="s">
        <v>371</v>
      </c>
      <c r="D302" s="3" t="str">
        <f t="shared" si="1"/>
        <v>Landscaping Design &amp; Services</v>
      </c>
    </row>
    <row r="303">
      <c r="A303" s="3"/>
      <c r="B303" s="3" t="s">
        <v>748</v>
      </c>
      <c r="C303" s="3" t="s">
        <v>751</v>
      </c>
      <c r="D303" s="3" t="str">
        <f t="shared" si="1"/>
        <v>Landscaping Design &amp; Services</v>
      </c>
    </row>
    <row r="304">
      <c r="A304" s="3"/>
      <c r="B304" s="3" t="s">
        <v>4023</v>
      </c>
      <c r="C304" s="3" t="s">
        <v>4024</v>
      </c>
      <c r="D304" s="3" t="str">
        <f t="shared" si="1"/>
        <v>Landscaping Design &amp; Services</v>
      </c>
    </row>
    <row r="305">
      <c r="A305" s="3"/>
      <c r="B305" s="3" t="s">
        <v>4025</v>
      </c>
      <c r="C305" s="3" t="s">
        <v>4026</v>
      </c>
      <c r="D305" s="3" t="str">
        <f t="shared" si="1"/>
        <v>Landscaping Design &amp; Services</v>
      </c>
    </row>
    <row r="306">
      <c r="A306" s="3"/>
      <c r="B306" s="3" t="s">
        <v>1022</v>
      </c>
      <c r="C306" s="3" t="s">
        <v>1025</v>
      </c>
      <c r="D306" s="3" t="str">
        <f t="shared" si="1"/>
        <v>Landscaping Design &amp; Services</v>
      </c>
    </row>
    <row r="307">
      <c r="A307" s="3"/>
      <c r="B307" s="3" t="s">
        <v>1082</v>
      </c>
      <c r="C307" s="3" t="s">
        <v>1085</v>
      </c>
      <c r="D307" s="3" t="str">
        <f t="shared" si="1"/>
        <v>Landscaping Design &amp; Services</v>
      </c>
    </row>
    <row r="308">
      <c r="A308" s="3"/>
      <c r="B308" s="3" t="s">
        <v>1092</v>
      </c>
      <c r="C308" s="3" t="s">
        <v>1095</v>
      </c>
      <c r="D308" s="3" t="str">
        <f t="shared" si="1"/>
        <v>Landscaping Design &amp; Services</v>
      </c>
    </row>
    <row r="309">
      <c r="A309" s="3"/>
      <c r="B309" s="3" t="s">
        <v>4027</v>
      </c>
      <c r="C309" s="3" t="s">
        <v>1135</v>
      </c>
      <c r="D309" s="3" t="str">
        <f t="shared" si="1"/>
        <v>Landscaping Design &amp; Services</v>
      </c>
    </row>
    <row r="310">
      <c r="A310" s="3"/>
      <c r="B310" s="3" t="s">
        <v>4028</v>
      </c>
      <c r="C310" s="3" t="s">
        <v>1325</v>
      </c>
      <c r="D310" s="3" t="str">
        <f t="shared" si="1"/>
        <v>Landscaping Design &amp; Services</v>
      </c>
    </row>
    <row r="311">
      <c r="A311" s="3"/>
      <c r="B311" s="3" t="s">
        <v>1332</v>
      </c>
      <c r="C311" s="3" t="s">
        <v>1335</v>
      </c>
      <c r="D311" s="3" t="str">
        <f t="shared" si="1"/>
        <v>Landscaping Design &amp; Services</v>
      </c>
    </row>
    <row r="312">
      <c r="A312" s="3"/>
      <c r="B312" s="3" t="s">
        <v>1410</v>
      </c>
      <c r="C312" s="3" t="s">
        <v>1413</v>
      </c>
      <c r="D312" s="3" t="str">
        <f t="shared" si="1"/>
        <v>Landscaping Design &amp; Services</v>
      </c>
    </row>
    <row r="313">
      <c r="A313" s="3"/>
      <c r="B313" s="3" t="s">
        <v>1543</v>
      </c>
      <c r="C313" s="3" t="s">
        <v>1546</v>
      </c>
      <c r="D313" s="3" t="str">
        <f t="shared" si="1"/>
        <v>Landscaping Design &amp; Services</v>
      </c>
    </row>
    <row r="314">
      <c r="A314" s="3"/>
      <c r="B314" s="3" t="s">
        <v>1782</v>
      </c>
      <c r="C314" s="3" t="s">
        <v>1785</v>
      </c>
      <c r="D314" s="3" t="str">
        <f t="shared" si="1"/>
        <v>Landscaping Design &amp; Services</v>
      </c>
    </row>
    <row r="315">
      <c r="A315" s="3"/>
      <c r="B315" s="3" t="s">
        <v>1787</v>
      </c>
      <c r="C315" s="3" t="s">
        <v>1790</v>
      </c>
      <c r="D315" s="3" t="str">
        <f t="shared" si="1"/>
        <v>Landscaping Design &amp; Services</v>
      </c>
    </row>
    <row r="316">
      <c r="A316" s="3"/>
      <c r="B316" s="3" t="s">
        <v>1945</v>
      </c>
      <c r="C316" s="3" t="s">
        <v>1948</v>
      </c>
      <c r="D316" s="3" t="str">
        <f t="shared" si="1"/>
        <v>Landscaping Design &amp; Services</v>
      </c>
    </row>
    <row r="317">
      <c r="A317" s="3"/>
      <c r="B317" s="3" t="s">
        <v>2315</v>
      </c>
      <c r="C317" s="3" t="s">
        <v>2318</v>
      </c>
      <c r="D317" s="3" t="str">
        <f t="shared" si="1"/>
        <v>Landscaping Design &amp; Services</v>
      </c>
    </row>
    <row r="318">
      <c r="A318" s="3"/>
      <c r="B318" s="3" t="s">
        <v>2405</v>
      </c>
      <c r="C318" s="3" t="s">
        <v>2408</v>
      </c>
      <c r="D318" s="3" t="str">
        <f t="shared" si="1"/>
        <v>Landscaping Design &amp; Services</v>
      </c>
    </row>
    <row r="319">
      <c r="A319" s="3"/>
      <c r="B319" s="3" t="s">
        <v>2562</v>
      </c>
      <c r="C319" s="3" t="s">
        <v>2565</v>
      </c>
      <c r="D319" s="3" t="str">
        <f t="shared" si="1"/>
        <v>Landscaping Design &amp; Services</v>
      </c>
    </row>
    <row r="320">
      <c r="A320" s="3"/>
      <c r="B320" s="3" t="s">
        <v>3144</v>
      </c>
      <c r="C320" s="3" t="s">
        <v>3147</v>
      </c>
      <c r="D320" s="3" t="str">
        <f t="shared" si="1"/>
        <v>Landscaping Design &amp; Services</v>
      </c>
    </row>
    <row r="321">
      <c r="A321" s="3"/>
      <c r="B321" s="3" t="s">
        <v>4029</v>
      </c>
      <c r="C321" s="3" t="s">
        <v>4030</v>
      </c>
      <c r="D321" s="3" t="str">
        <f t="shared" si="1"/>
        <v>Landscaping Design &amp; Services</v>
      </c>
    </row>
    <row r="322">
      <c r="A322" s="3"/>
      <c r="B322" s="3" t="s">
        <v>3430</v>
      </c>
      <c r="C322" s="3" t="s">
        <v>4031</v>
      </c>
      <c r="D322" s="3" t="str">
        <f t="shared" si="1"/>
        <v>Landscaping Design &amp; Services</v>
      </c>
    </row>
    <row r="323">
      <c r="A323" s="3"/>
      <c r="B323" s="3" t="s">
        <v>4032</v>
      </c>
      <c r="C323" s="3" t="s">
        <v>3438</v>
      </c>
      <c r="D323" s="3" t="str">
        <f t="shared" si="1"/>
        <v>Landscaping Design &amp; Services</v>
      </c>
    </row>
    <row r="324">
      <c r="A324" s="3"/>
      <c r="B324" s="3" t="s">
        <v>3467</v>
      </c>
      <c r="C324" s="3" t="s">
        <v>3470</v>
      </c>
      <c r="D324" s="3" t="str">
        <f t="shared" si="1"/>
        <v>Landscaping Design &amp; Services</v>
      </c>
    </row>
    <row r="325">
      <c r="A325" s="3"/>
      <c r="B325" s="3" t="s">
        <v>3630</v>
      </c>
      <c r="C325" s="3" t="s">
        <v>3633</v>
      </c>
      <c r="D325" s="3" t="str">
        <f t="shared" si="1"/>
        <v>Landscaping Design &amp; Services</v>
      </c>
    </row>
    <row r="326">
      <c r="A326" s="3"/>
      <c r="B326" s="3" t="s">
        <v>3715</v>
      </c>
      <c r="C326" s="3" t="s">
        <v>3718</v>
      </c>
      <c r="D326" s="3" t="str">
        <f t="shared" si="1"/>
        <v>Landscaping Design &amp; Services</v>
      </c>
    </row>
    <row r="327">
      <c r="A327" s="3" t="s">
        <v>4033</v>
      </c>
      <c r="B327" s="3" t="s">
        <v>605</v>
      </c>
      <c r="C327" s="3" t="s">
        <v>608</v>
      </c>
      <c r="D327" s="3" t="str">
        <f t="shared" si="1"/>
        <v>Lumber</v>
      </c>
    </row>
    <row r="328">
      <c r="A328" s="3"/>
      <c r="B328" s="3" t="s">
        <v>630</v>
      </c>
      <c r="C328" s="3" t="s">
        <v>573</v>
      </c>
      <c r="D328" s="3" t="str">
        <f t="shared" si="1"/>
        <v>Lumber</v>
      </c>
    </row>
    <row r="329">
      <c r="A329" s="3"/>
      <c r="B329" s="3" t="s">
        <v>4034</v>
      </c>
      <c r="C329" s="3" t="s">
        <v>4035</v>
      </c>
      <c r="D329" s="3" t="str">
        <f t="shared" si="1"/>
        <v>Lumber</v>
      </c>
    </row>
    <row r="330">
      <c r="A330" s="3"/>
      <c r="B330" s="3" t="s">
        <v>3313</v>
      </c>
      <c r="C330" s="3" t="s">
        <v>3316</v>
      </c>
      <c r="D330" s="3" t="str">
        <f t="shared" si="1"/>
        <v>Lumber</v>
      </c>
    </row>
    <row r="331">
      <c r="A331" s="3" t="s">
        <v>4036</v>
      </c>
      <c r="B331" s="3" t="s">
        <v>3948</v>
      </c>
      <c r="C331" s="3" t="s">
        <v>3949</v>
      </c>
      <c r="D331" s="3" t="str">
        <f t="shared" si="1"/>
        <v>Mortgages/Construction Loans</v>
      </c>
    </row>
    <row r="332">
      <c r="A332" s="3"/>
      <c r="B332" s="3" t="s">
        <v>173</v>
      </c>
      <c r="C332" s="3" t="s">
        <v>176</v>
      </c>
      <c r="D332" s="3" t="str">
        <f t="shared" si="1"/>
        <v>Mortgages/Construction Loans</v>
      </c>
    </row>
    <row r="333">
      <c r="A333" s="3"/>
      <c r="B333" s="3" t="s">
        <v>917</v>
      </c>
      <c r="C333" s="3" t="s">
        <v>920</v>
      </c>
      <c r="D333" s="3" t="str">
        <f t="shared" si="1"/>
        <v>Mortgages/Construction Loans</v>
      </c>
    </row>
    <row r="334">
      <c r="A334" s="3"/>
      <c r="B334" s="3" t="s">
        <v>4037</v>
      </c>
      <c r="C334" s="3" t="s">
        <v>4038</v>
      </c>
      <c r="D334" s="3" t="str">
        <f t="shared" si="1"/>
        <v>Mortgages/Construction Loans</v>
      </c>
    </row>
    <row r="335">
      <c r="A335" s="3"/>
      <c r="B335" s="3" t="s">
        <v>1683</v>
      </c>
      <c r="C335" s="3" t="s">
        <v>1686</v>
      </c>
      <c r="D335" s="3" t="str">
        <f t="shared" si="1"/>
        <v>Mortgages/Construction Loans</v>
      </c>
    </row>
    <row r="336">
      <c r="A336" s="3"/>
      <c r="B336" s="3" t="s">
        <v>2071</v>
      </c>
      <c r="C336" s="3" t="s">
        <v>2074</v>
      </c>
      <c r="D336" s="3" t="str">
        <f t="shared" si="1"/>
        <v>Mortgages/Construction Loans</v>
      </c>
    </row>
    <row r="337">
      <c r="A337" s="3"/>
      <c r="B337" s="3" t="s">
        <v>3029</v>
      </c>
      <c r="C337" s="3" t="s">
        <v>3032</v>
      </c>
      <c r="D337" s="3" t="str">
        <f t="shared" si="1"/>
        <v>Mortgages/Construction Loans</v>
      </c>
    </row>
    <row r="338">
      <c r="A338" s="3"/>
      <c r="B338" s="3" t="s">
        <v>3154</v>
      </c>
      <c r="C338" s="3" t="s">
        <v>3157</v>
      </c>
      <c r="D338" s="3" t="str">
        <f t="shared" si="1"/>
        <v>Mortgages/Construction Loans</v>
      </c>
    </row>
    <row r="339">
      <c r="A339" s="3"/>
      <c r="B339" s="3" t="s">
        <v>3397</v>
      </c>
      <c r="C339" s="3" t="s">
        <v>3400</v>
      </c>
      <c r="D339" s="3" t="str">
        <f t="shared" si="1"/>
        <v>Mortgages/Construction Loans</v>
      </c>
    </row>
    <row r="340">
      <c r="A340" s="3"/>
      <c r="B340" s="3" t="s">
        <v>3655</v>
      </c>
      <c r="C340" s="3" t="s">
        <v>3658</v>
      </c>
      <c r="D340" s="3" t="str">
        <f t="shared" si="1"/>
        <v>Mortgages/Construction Loans</v>
      </c>
    </row>
    <row r="341">
      <c r="A341" s="3"/>
      <c r="B341" s="3" t="s">
        <v>3680</v>
      </c>
      <c r="C341" s="3" t="s">
        <v>3683</v>
      </c>
      <c r="D341" s="3" t="str">
        <f t="shared" si="1"/>
        <v>Mortgages/Construction Loans</v>
      </c>
    </row>
    <row r="342">
      <c r="A342" s="3"/>
      <c r="B342" s="3" t="s">
        <v>3804</v>
      </c>
      <c r="C342" s="3" t="s">
        <v>3807</v>
      </c>
      <c r="D342" s="3" t="str">
        <f t="shared" si="1"/>
        <v>Mortgages/Construction Loans</v>
      </c>
    </row>
    <row r="343">
      <c r="A343" s="3"/>
      <c r="B343" s="3" t="s">
        <v>3950</v>
      </c>
      <c r="C343" s="3" t="s">
        <v>3951</v>
      </c>
      <c r="D343" s="3" t="str">
        <f t="shared" si="1"/>
        <v>Mortgages/Construction Loans</v>
      </c>
    </row>
    <row r="344">
      <c r="A344" s="3" t="s">
        <v>4039</v>
      </c>
      <c r="B344" s="3" t="s">
        <v>363</v>
      </c>
      <c r="C344" s="3" t="s">
        <v>366</v>
      </c>
      <c r="D344" s="3" t="str">
        <f t="shared" si="1"/>
        <v>Plumbing Contractors</v>
      </c>
    </row>
    <row r="345">
      <c r="A345" s="3"/>
      <c r="B345" s="3" t="s">
        <v>4040</v>
      </c>
      <c r="C345" s="3" t="s">
        <v>985</v>
      </c>
      <c r="D345" s="3" t="str">
        <f t="shared" si="1"/>
        <v>Plumbing Contractors</v>
      </c>
    </row>
    <row r="346">
      <c r="A346" s="3"/>
      <c r="B346" s="3" t="s">
        <v>1002</v>
      </c>
      <c r="C346" s="3" t="s">
        <v>1005</v>
      </c>
      <c r="D346" s="3" t="str">
        <f t="shared" si="1"/>
        <v>Plumbing Contractors</v>
      </c>
    </row>
    <row r="347">
      <c r="A347" s="3"/>
      <c r="B347" s="3" t="s">
        <v>1588</v>
      </c>
      <c r="C347" s="3" t="s">
        <v>1591</v>
      </c>
      <c r="D347" s="3" t="str">
        <f t="shared" si="1"/>
        <v>Plumbing Contractors</v>
      </c>
    </row>
    <row r="348">
      <c r="A348" s="3"/>
      <c r="B348" s="3" t="s">
        <v>1797</v>
      </c>
      <c r="C348" s="3" t="s">
        <v>1800</v>
      </c>
      <c r="D348" s="3" t="str">
        <f t="shared" si="1"/>
        <v>Plumbing Contractors</v>
      </c>
    </row>
    <row r="349">
      <c r="A349" s="3"/>
      <c r="B349" s="3" t="s">
        <v>1892</v>
      </c>
      <c r="C349" s="3" t="s">
        <v>1895</v>
      </c>
      <c r="D349" s="3" t="str">
        <f t="shared" si="1"/>
        <v>Plumbing Contractors</v>
      </c>
    </row>
    <row r="350">
      <c r="A350" s="3"/>
      <c r="B350" s="3" t="s">
        <v>2255</v>
      </c>
      <c r="C350" s="3" t="s">
        <v>2258</v>
      </c>
      <c r="D350" s="3" t="str">
        <f t="shared" si="1"/>
        <v>Plumbing Contractors</v>
      </c>
    </row>
    <row r="351">
      <c r="A351" s="3"/>
      <c r="B351" s="3" t="s">
        <v>2420</v>
      </c>
      <c r="C351" s="3" t="s">
        <v>2423</v>
      </c>
      <c r="D351" s="3" t="str">
        <f t="shared" si="1"/>
        <v>Plumbing Contractors</v>
      </c>
    </row>
    <row r="352">
      <c r="A352" s="3"/>
      <c r="B352" s="3" t="s">
        <v>2523</v>
      </c>
      <c r="C352" s="3" t="s">
        <v>2526</v>
      </c>
      <c r="D352" s="3" t="str">
        <f t="shared" si="1"/>
        <v>Plumbing Contractors</v>
      </c>
    </row>
    <row r="353">
      <c r="A353" s="3"/>
      <c r="B353" s="3" t="s">
        <v>2602</v>
      </c>
      <c r="C353" s="3" t="s">
        <v>2605</v>
      </c>
      <c r="D353" s="3" t="str">
        <f t="shared" si="1"/>
        <v>Plumbing Contractors</v>
      </c>
    </row>
    <row r="354">
      <c r="A354" s="3"/>
      <c r="B354" s="3" t="s">
        <v>3004</v>
      </c>
      <c r="C354" s="3" t="s">
        <v>3007</v>
      </c>
      <c r="D354" s="3" t="str">
        <f t="shared" si="1"/>
        <v>Plumbing Contractors</v>
      </c>
    </row>
    <row r="355">
      <c r="A355" s="3"/>
      <c r="B355" s="3" t="s">
        <v>4041</v>
      </c>
      <c r="C355" s="3" t="s">
        <v>3107</v>
      </c>
      <c r="D355" s="3" t="str">
        <f t="shared" si="1"/>
        <v>Plumbing Contractors</v>
      </c>
    </row>
    <row r="356">
      <c r="A356" s="3"/>
      <c r="B356" s="3" t="s">
        <v>3109</v>
      </c>
      <c r="C356" s="3" t="s">
        <v>3112</v>
      </c>
      <c r="D356" s="3" t="str">
        <f t="shared" si="1"/>
        <v>Plumbing Contractors</v>
      </c>
    </row>
    <row r="357">
      <c r="A357" s="3"/>
      <c r="B357" s="3" t="s">
        <v>3521</v>
      </c>
      <c r="C357" s="3" t="s">
        <v>3524</v>
      </c>
      <c r="D357" s="3" t="str">
        <f t="shared" si="1"/>
        <v>Plumbing Contractors</v>
      </c>
    </row>
    <row r="358">
      <c r="A358" s="3"/>
      <c r="B358" s="3" t="s">
        <v>1872</v>
      </c>
      <c r="C358" s="3" t="s">
        <v>1875</v>
      </c>
      <c r="D358" s="3" t="str">
        <f t="shared" si="1"/>
        <v>Plumbing Contractors</v>
      </c>
    </row>
    <row r="359">
      <c r="A359" s="3" t="s">
        <v>4042</v>
      </c>
      <c r="B359" s="3" t="s">
        <v>133</v>
      </c>
      <c r="C359" s="3" t="s">
        <v>136</v>
      </c>
      <c r="D359" s="3" t="str">
        <f t="shared" si="1"/>
        <v>Remodelers</v>
      </c>
    </row>
    <row r="360">
      <c r="A360" s="3"/>
      <c r="B360" s="3" t="s">
        <v>585</v>
      </c>
      <c r="C360" s="3" t="s">
        <v>588</v>
      </c>
      <c r="D360" s="3" t="str">
        <f t="shared" si="1"/>
        <v>Remodelers</v>
      </c>
    </row>
    <row r="361">
      <c r="A361" s="3"/>
      <c r="B361" s="3" t="s">
        <v>610</v>
      </c>
      <c r="C361" s="3" t="s">
        <v>613</v>
      </c>
      <c r="D361" s="3" t="str">
        <f t="shared" si="1"/>
        <v>Remodelers</v>
      </c>
    </row>
    <row r="362">
      <c r="A362" s="3"/>
      <c r="B362" s="3" t="s">
        <v>1302</v>
      </c>
      <c r="C362" s="3" t="s">
        <v>1305</v>
      </c>
      <c r="D362" s="3" t="str">
        <f t="shared" si="1"/>
        <v>Remodelers</v>
      </c>
    </row>
    <row r="363">
      <c r="A363" s="3"/>
      <c r="B363" s="3" t="s">
        <v>1392</v>
      </c>
      <c r="C363" s="3" t="s">
        <v>1395</v>
      </c>
      <c r="D363" s="3" t="str">
        <f t="shared" si="1"/>
        <v>Remodelers</v>
      </c>
    </row>
    <row r="364">
      <c r="A364" s="3"/>
      <c r="B364" s="3" t="s">
        <v>1478</v>
      </c>
      <c r="C364" s="3" t="s">
        <v>1481</v>
      </c>
      <c r="D364" s="3" t="str">
        <f t="shared" si="1"/>
        <v>Remodelers</v>
      </c>
    </row>
    <row r="365">
      <c r="A365" s="3"/>
      <c r="B365" s="3" t="s">
        <v>1573</v>
      </c>
      <c r="C365" s="3" t="s">
        <v>1576</v>
      </c>
      <c r="D365" s="3" t="str">
        <f t="shared" si="1"/>
        <v>Remodelers</v>
      </c>
    </row>
    <row r="366">
      <c r="A366" s="3"/>
      <c r="B366" s="3" t="s">
        <v>1578</v>
      </c>
      <c r="C366" s="3" t="s">
        <v>1581</v>
      </c>
      <c r="D366" s="3" t="str">
        <f t="shared" si="1"/>
        <v>Remodelers</v>
      </c>
    </row>
    <row r="367">
      <c r="A367" s="3"/>
      <c r="B367" s="3" t="s">
        <v>1777</v>
      </c>
      <c r="C367" s="3" t="s">
        <v>1780</v>
      </c>
      <c r="D367" s="3" t="str">
        <f t="shared" si="1"/>
        <v>Remodelers</v>
      </c>
    </row>
    <row r="368">
      <c r="A368" s="3"/>
      <c r="B368" s="3" t="s">
        <v>1990</v>
      </c>
      <c r="C368" s="3" t="s">
        <v>1993</v>
      </c>
      <c r="D368" s="3" t="str">
        <f t="shared" si="1"/>
        <v>Remodelers</v>
      </c>
    </row>
    <row r="369">
      <c r="A369" s="3"/>
      <c r="B369" s="3" t="s">
        <v>2106</v>
      </c>
      <c r="C369" s="3" t="s">
        <v>2109</v>
      </c>
      <c r="D369" s="3" t="str">
        <f t="shared" si="1"/>
        <v>Remodelers</v>
      </c>
    </row>
    <row r="370">
      <c r="A370" s="3"/>
      <c r="B370" s="3" t="s">
        <v>2176</v>
      </c>
      <c r="C370" s="3" t="s">
        <v>2179</v>
      </c>
      <c r="D370" s="3" t="str">
        <f t="shared" si="1"/>
        <v>Remodelers</v>
      </c>
    </row>
    <row r="371">
      <c r="A371" s="3"/>
      <c r="B371" s="3" t="s">
        <v>2755</v>
      </c>
      <c r="C371" s="3" t="s">
        <v>2758</v>
      </c>
      <c r="D371" s="3" t="str">
        <f t="shared" si="1"/>
        <v>Remodelers</v>
      </c>
    </row>
    <row r="372">
      <c r="A372" s="3" t="s">
        <v>4043</v>
      </c>
      <c r="B372" s="3" t="s">
        <v>123</v>
      </c>
      <c r="C372" s="3" t="s">
        <v>126</v>
      </c>
      <c r="D372" s="3" t="str">
        <f t="shared" si="1"/>
        <v>Roofing Contractors</v>
      </c>
    </row>
    <row r="373">
      <c r="A373" s="3"/>
      <c r="B373" s="3" t="s">
        <v>4044</v>
      </c>
      <c r="C373" s="3" t="s">
        <v>391</v>
      </c>
      <c r="D373" s="3" t="str">
        <f t="shared" si="1"/>
        <v>Roofing Contractors</v>
      </c>
    </row>
    <row r="374">
      <c r="A374" s="3"/>
      <c r="B374" s="3" t="s">
        <v>491</v>
      </c>
      <c r="C374" s="3" t="s">
        <v>494</v>
      </c>
      <c r="D374" s="3" t="str">
        <f t="shared" si="1"/>
        <v>Roofing Contractors</v>
      </c>
    </row>
    <row r="375">
      <c r="A375" s="3"/>
      <c r="B375" s="3" t="s">
        <v>818</v>
      </c>
      <c r="C375" s="3" t="s">
        <v>821</v>
      </c>
      <c r="D375" s="3" t="str">
        <f t="shared" si="1"/>
        <v>Roofing Contractors</v>
      </c>
    </row>
    <row r="376">
      <c r="A376" s="3"/>
      <c r="B376" s="3" t="s">
        <v>843</v>
      </c>
      <c r="C376" s="3" t="s">
        <v>1230</v>
      </c>
      <c r="D376" s="3" t="str">
        <f t="shared" si="1"/>
        <v>Roofing Contractors</v>
      </c>
    </row>
    <row r="377">
      <c r="A377" s="3"/>
      <c r="B377" s="3" t="s">
        <v>1227</v>
      </c>
      <c r="C377" s="3" t="s">
        <v>2481</v>
      </c>
      <c r="D377" s="3" t="str">
        <f t="shared" si="1"/>
        <v>Roofing Contractors</v>
      </c>
    </row>
    <row r="378">
      <c r="A378" s="3"/>
      <c r="B378" s="3" t="s">
        <v>2478</v>
      </c>
      <c r="C378" s="3" t="s">
        <v>2481</v>
      </c>
      <c r="D378" s="3" t="str">
        <f t="shared" si="1"/>
        <v>Roofing Contractors</v>
      </c>
    </row>
    <row r="379">
      <c r="A379" s="3"/>
      <c r="B379" s="3" t="s">
        <v>2533</v>
      </c>
      <c r="C379" s="3" t="s">
        <v>2536</v>
      </c>
      <c r="D379" s="3" t="str">
        <f t="shared" si="1"/>
        <v>Roofing Contractors</v>
      </c>
    </row>
    <row r="380">
      <c r="A380" s="3"/>
      <c r="B380" s="3" t="s">
        <v>2840</v>
      </c>
      <c r="C380" s="3" t="s">
        <v>2843</v>
      </c>
      <c r="D380" s="3" t="str">
        <f t="shared" si="1"/>
        <v>Roofing Contractors</v>
      </c>
    </row>
    <row r="381">
      <c r="A381" s="3"/>
      <c r="B381" s="3" t="s">
        <v>2934</v>
      </c>
      <c r="C381" s="3" t="s">
        <v>2937</v>
      </c>
      <c r="D381" s="3" t="str">
        <f t="shared" si="1"/>
        <v>Roofing Contractors</v>
      </c>
    </row>
    <row r="382">
      <c r="A382" s="3"/>
      <c r="B382" s="3" t="s">
        <v>4045</v>
      </c>
      <c r="C382" s="3" t="s">
        <v>3405</v>
      </c>
      <c r="D382" s="3" t="str">
        <f t="shared" si="1"/>
        <v>Roofing Contractors</v>
      </c>
    </row>
    <row r="383">
      <c r="A383" s="3"/>
      <c r="B383" s="3" t="s">
        <v>3745</v>
      </c>
      <c r="C383" s="3" t="s">
        <v>3748</v>
      </c>
      <c r="D383" s="3" t="str">
        <f t="shared" si="1"/>
        <v>Roofing Contractors</v>
      </c>
    </row>
    <row r="384">
      <c r="A384" s="3" t="s">
        <v>4046</v>
      </c>
      <c r="B384" s="3" t="s">
        <v>1262</v>
      </c>
      <c r="C384" s="3" t="s">
        <v>1265</v>
      </c>
      <c r="D384" s="3" t="str">
        <f t="shared" si="1"/>
        <v>Title &amp; Escrow</v>
      </c>
    </row>
    <row r="385">
      <c r="A385" s="3"/>
      <c r="B385" s="3" t="s">
        <v>4047</v>
      </c>
      <c r="C385" s="3" t="s">
        <v>4048</v>
      </c>
      <c r="D385" s="3" t="str">
        <f t="shared" si="1"/>
        <v>Title &amp; Escrow</v>
      </c>
    </row>
    <row r="386">
      <c r="A386" s="3"/>
      <c r="B386" s="3" t="s">
        <v>2458</v>
      </c>
      <c r="C386" s="3" t="s">
        <v>4049</v>
      </c>
      <c r="D386" s="3" t="str">
        <f t="shared" si="1"/>
        <v>Title &amp; Escrow</v>
      </c>
    </row>
    <row r="387">
      <c r="A387" s="3"/>
      <c r="B387" s="3" t="s">
        <v>4050</v>
      </c>
      <c r="C387" s="3" t="s">
        <v>2703</v>
      </c>
      <c r="D387" s="3" t="str">
        <f t="shared" si="1"/>
        <v>Title &amp; Escrow</v>
      </c>
    </row>
    <row r="388">
      <c r="A388" s="3"/>
      <c r="B388" s="3" t="s">
        <v>2825</v>
      </c>
      <c r="C388" s="3" t="s">
        <v>2828</v>
      </c>
      <c r="D388" s="3" t="str">
        <f t="shared" si="1"/>
        <v>Title &amp; Escrow</v>
      </c>
    </row>
    <row r="389">
      <c r="A389" s="3"/>
      <c r="B389" s="3" t="s">
        <v>3024</v>
      </c>
      <c r="C389" s="3" t="s">
        <v>3027</v>
      </c>
      <c r="D389" s="3" t="str">
        <f t="shared" si="1"/>
        <v>Title &amp; Escrow</v>
      </c>
    </row>
    <row r="390">
      <c r="A390" s="3"/>
      <c r="B390" s="3" t="s">
        <v>3635</v>
      </c>
      <c r="C390" s="3" t="s">
        <v>3638</v>
      </c>
      <c r="D390" s="3" t="str">
        <f t="shared" si="1"/>
        <v>Title &amp; Escrow</v>
      </c>
    </row>
    <row r="391">
      <c r="A391" s="3"/>
      <c r="B391" s="3" t="s">
        <v>3675</v>
      </c>
      <c r="C391" s="3" t="s">
        <v>3678</v>
      </c>
      <c r="D391" s="3" t="str">
        <f t="shared" si="1"/>
        <v>Title &amp; Escrow</v>
      </c>
    </row>
    <row r="392">
      <c r="A392" s="3" t="s">
        <v>4051</v>
      </c>
      <c r="B392" s="3" t="s">
        <v>1072</v>
      </c>
      <c r="C392" s="3" t="s">
        <v>1075</v>
      </c>
      <c r="D392" s="3" t="str">
        <f t="shared" si="1"/>
        <v>Windows &amp; Doors</v>
      </c>
    </row>
    <row r="393">
      <c r="A393" s="3"/>
      <c r="B393" s="3" t="s">
        <v>1718</v>
      </c>
      <c r="C393" s="3" t="s">
        <v>1721</v>
      </c>
      <c r="D393" s="3" t="str">
        <f t="shared" si="1"/>
        <v>Windows &amp; Doors</v>
      </c>
    </row>
    <row r="394">
      <c r="A394" s="3"/>
      <c r="B394" s="3" t="s">
        <v>2557</v>
      </c>
      <c r="C394" s="3" t="s">
        <v>2560</v>
      </c>
      <c r="D394" s="3" t="str">
        <f t="shared" si="1"/>
        <v>Windows &amp; Doors</v>
      </c>
    </row>
    <row r="395">
      <c r="A395" s="3"/>
      <c r="B395" s="3" t="s">
        <v>3149</v>
      </c>
      <c r="C395" s="3" t="s">
        <v>3152</v>
      </c>
      <c r="D395" s="3" t="str">
        <f t="shared" si="1"/>
        <v>Windows &amp; Doors</v>
      </c>
    </row>
    <row r="396">
      <c r="A396" s="3"/>
      <c r="B396" s="3" t="s">
        <v>3710</v>
      </c>
      <c r="C396" s="3" t="s">
        <v>3713</v>
      </c>
      <c r="D396" s="3" t="str">
        <f t="shared" si="1"/>
        <v>Windows &amp; Doors</v>
      </c>
    </row>
    <row r="397">
      <c r="A397" s="3"/>
      <c r="B397" s="3" t="s">
        <v>3775</v>
      </c>
      <c r="C397" s="3" t="s">
        <v>3777</v>
      </c>
      <c r="D397" s="3" t="str">
        <f t="shared" si="1"/>
        <v>Windows &amp; Doors</v>
      </c>
    </row>
  </sheetData>
  <drawing r:id="rId1"/>
</worksheet>
</file>